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uniluxembourg-my.sharepoint.com/personal/laura_bernardy_uni_lu/Documents/Documents/GitHub/DarkJargon-SOK-USENIX26/"/>
    </mc:Choice>
  </mc:AlternateContent>
  <xr:revisionPtr revIDLastSave="50" documentId="13_ncr:1_{889C5A6C-99FE-49D5-B057-CE0D9F29AF69}" xr6:coauthVersionLast="47" xr6:coauthVersionMax="47" xr10:uidLastSave="{562976C3-569B-428F-AF1E-703AD684CFEF}"/>
  <bookViews>
    <workbookView xWindow="-108" yWindow="-108" windowWidth="23256" windowHeight="12456" firstSheet="3" activeTab="9"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5" l="1"/>
</calcChain>
</file>

<file path=xl/sharedStrings.xml><?xml version="1.0" encoding="utf-8"?>
<sst xmlns="http://schemas.openxmlformats.org/spreadsheetml/2006/main" count="893" uniqueCount="510">
  <si>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</si>
  <si>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</si>
  <si>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</si>
  <si>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</si>
  <si>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</si>
  <si>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</si>
  <si>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</si>
  <si>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</si>
  <si>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</si>
  <si>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</si>
  <si>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</si>
  <si>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</si>
  <si>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</si>
  <si>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</si>
  <si>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</si>
  <si>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</si>
  <si>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</si>
  <si>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</si>
  <si>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</si>
  <si>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</si>
  <si>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</si>
  <si>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</si>
  <si>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</si>
  <si>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</si>
  <si>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</si>
  <si>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</si>
  <si>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</si>
  <si>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</si>
  <si>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</si>
  <si>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</si>
  <si>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</si>
  <si>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</si>
  <si>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</si>
  <si>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</si>
  <si>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</si>
  <si>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</si>
  <si>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</si>
  <si>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</si>
  <si>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</si>
  <si>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</si>
  <si>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</si>
  <si>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</si>
  <si>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</si>
  <si>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</si>
  <si>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</si>
  <si>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</si>
  <si>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</si>
  <si>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</si>
  <si>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</si>
  <si>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</si>
  <si>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</si>
  <si>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</si>
  <si>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</si>
  <si>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</si>
  <si>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</si>
  <si>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</si>
  <si>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</si>
  <si>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</si>
  <si>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</si>
  <si>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</si>
  <si>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</si>
  <si>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</si>
  <si>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</si>
  <si>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</si>
  <si>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</si>
  <si>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</si>
  <si>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</si>
  <si>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</si>
  <si>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</si>
  <si>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</si>
  <si>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</si>
  <si>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</si>
  <si>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</si>
  <si>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</si>
  <si>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</si>
  <si>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</si>
  <si>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</si>
  <si>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</si>
  <si>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</si>
  <si>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</si>
  <si>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</si>
  <si>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</si>
  <si>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</si>
  <si>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</si>
  <si>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</si>
  <si>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</si>
  <si>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</si>
  <si>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</si>
  <si>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</si>
  <si>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</si>
  <si>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</si>
  <si>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</si>
  <si>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</si>
  <si>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</si>
  <si>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</si>
  <si>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</si>
  <si>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</si>
  <si>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</si>
  <si>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</si>
  <si>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</si>
  <si>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</si>
  <si>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</si>
  <si>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</si>
  <si>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</si>
  <si>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</si>
  <si>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</si>
  <si>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</si>
  <si>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</si>
  <si>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</si>
  <si>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</si>
  <si>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</si>
  <si>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</si>
  <si>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</si>
  <si>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</si>
  <si>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</si>
  <si>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</si>
  <si>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</si>
  <si>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</si>
  <si>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</si>
  <si>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</si>
  <si>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</si>
  <si>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</si>
  <si>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</si>
  <si>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</si>
  <si>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</si>
  <si>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</si>
  <si>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</si>
  <si>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</si>
  <si>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</si>
  <si>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</si>
  <si>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</si>
  <si>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</si>
  <si>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</si>
  <si>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</si>
  <si>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</si>
  <si>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</si>
  <si>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approach</t>
  </si>
  <si>
    <t>resource</t>
  </si>
  <si>
    <t xml:space="preserve"> springer</t>
  </si>
  <si>
    <t>ACL</t>
  </si>
  <si>
    <t>ACM</t>
  </si>
  <si>
    <t>dblp</t>
  </si>
  <si>
    <t>IEEE Xplore</t>
  </si>
  <si>
    <t>sciencedirect</t>
  </si>
  <si>
    <t>Springer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</si>
  <si>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</si>
  <si>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</si>
  <si>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</si>
  <si>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</si>
  <si>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</si>
  <si>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</si>
  <si>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</si>
  <si>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</si>
  <si>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</si>
  <si>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</si>
  <si>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</si>
  <si>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</si>
  <si>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</si>
  <si>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</si>
  <si>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</si>
  <si>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</si>
  <si>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</si>
  <si>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</si>
  <si>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</si>
  <si>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</si>
  <si>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</si>
  <si>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</si>
  <si>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</si>
  <si>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</si>
  <si>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</si>
  <si>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</si>
  <si>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</si>
  <si>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</si>
  <si>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</si>
  <si>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</si>
  <si>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</si>
  <si>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</si>
  <si>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</si>
  <si>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</si>
  <si>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</si>
  <si>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</si>
  <si>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</si>
  <si>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</si>
  <si>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</si>
  <si>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</si>
  <si>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</si>
  <si>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</si>
  <si>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</si>
  <si>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</si>
  <si>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</si>
  <si>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</si>
  <si>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</si>
  <si>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</si>
  <si>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</si>
  <si>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</si>
  <si>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</si>
  <si>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</si>
  <si>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</si>
  <si>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</si>
  <si>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</si>
  <si>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</si>
  <si>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</si>
  <si>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</si>
  <si>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</si>
  <si>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</si>
  <si>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</si>
  <si>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</si>
  <si>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</si>
  <si>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S4</t>
  </si>
  <si>
    <t>O1, O4</t>
  </si>
  <si>
    <t>M7, (M5)</t>
  </si>
  <si>
    <t>S2, S3, S4</t>
  </si>
  <si>
    <t>O1, O2</t>
  </si>
  <si>
    <t>M3, M4, M5</t>
  </si>
  <si>
    <t>M1, M3, M5, M6, M8</t>
  </si>
  <si>
    <t>O1, O3, O4</t>
  </si>
  <si>
    <t>M1, M3, M5, M8</t>
  </si>
  <si>
    <t>S1. (S2), S4</t>
  </si>
  <si>
    <t xml:space="preserve">O1, O3 </t>
  </si>
  <si>
    <t>S1, S2, S4</t>
  </si>
  <si>
    <t>M2, M5, M8</t>
  </si>
  <si>
    <t>O1</t>
  </si>
  <si>
    <t>M3, M4, M5, M8</t>
  </si>
  <si>
    <t>S1, S2, S3</t>
  </si>
  <si>
    <t>M2, M3, M6</t>
  </si>
  <si>
    <t>S1, S4</t>
  </si>
  <si>
    <t>M1, M4, M5, M7, M8</t>
  </si>
  <si>
    <t>M3, M5, M7, M8, M9</t>
  </si>
  <si>
    <t>M1, M5, M6, M8</t>
  </si>
  <si>
    <t>O3, O4</t>
  </si>
  <si>
    <t>E1</t>
  </si>
  <si>
    <t>eval type</t>
  </si>
  <si>
    <t>results</t>
  </si>
  <si>
    <t>metric</t>
  </si>
  <si>
    <t>P, R, F1</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</si>
  <si>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</si>
  <si>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</si>
  <si>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</si>
  <si>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</si>
  <si>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</si>
  <si>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</si>
  <si>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</si>
  <si>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</si>
  <si>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Artificial DJ: 0.909, DJ: 0.892</t>
  </si>
  <si>
    <t>acc@1</t>
  </si>
  <si>
    <t>drugs: 0.50, weapons: 0.40, sex: 0.70</t>
  </si>
  <si>
    <t>drugs: 0.30, weapons: 0.20, sex: 0.10</t>
  </si>
  <si>
    <t>0.17/0.29</t>
  </si>
  <si>
    <t>-</t>
  </si>
  <si>
    <t>P, R</t>
  </si>
  <si>
    <t>R 77.2, P 91</t>
  </si>
  <si>
    <t>P = 0.35, R = 0.31, and F1 = 0.33</t>
  </si>
  <si>
    <t>accuracy, F1</t>
  </si>
  <si>
    <t>acc = 0.67, F1= 0.654</t>
  </si>
  <si>
    <t>acc = 0.723, F1= 0.703</t>
  </si>
  <si>
    <t>E3</t>
  </si>
  <si>
    <t>Accuracy</t>
  </si>
  <si>
    <t>Interpretation ChatGPT-3.5=45.38, Detection: Oneshot: BARD=65.91, Zeroshot: New Bing=50</t>
  </si>
  <si>
    <t>E4</t>
  </si>
  <si>
    <t>E1+E4</t>
  </si>
  <si>
    <t>E2 + E4</t>
  </si>
  <si>
    <t>P = 0.991, R = 0.991, F1 = 0.991</t>
  </si>
  <si>
    <t>Interpretation</t>
  </si>
  <si>
    <t xml:space="preserve"> E4</t>
  </si>
  <si>
    <t>E1,E4</t>
  </si>
  <si>
    <t xml:space="preserve">E1 </t>
  </si>
  <si>
    <t>Main Eval. Method</t>
  </si>
  <si>
    <t xml:space="preserve">S1, S3, S4 </t>
  </si>
  <si>
    <t>M3 , M5, M4</t>
  </si>
  <si>
    <t xml:space="preserve">M3, M4, M5, M8 </t>
  </si>
  <si>
    <t>M5, M8, M9, (M3)</t>
  </si>
  <si>
    <t>selfsupervised</t>
  </si>
  <si>
    <t>5 chinese, 1 korean</t>
  </si>
  <si>
    <t>GT eval</t>
  </si>
  <si>
    <t>manually selected 70 typical Chinese underground jargons</t>
  </si>
  <si>
    <t>scraped 18.800 unique text posts in 29 QQ Groups</t>
  </si>
  <si>
    <t>E2, E4</t>
  </si>
  <si>
    <t>6.1 million pages crawled from dark web</t>
  </si>
  <si>
    <t>train data</t>
  </si>
  <si>
    <t>Hackforum subset of CrimeBB dataset, with 500 words annotated</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</si>
  <si>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</si>
  <si>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</si>
  <si>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</si>
  <si>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</si>
  <si>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</si>
  <si>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</si>
  <si>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</si>
  <si>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</si>
  <si>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</si>
  <si>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</si>
  <si>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</si>
  <si>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</si>
  <si>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</si>
  <si>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</si>
  <si>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</si>
  <si>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</si>
  <si>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</si>
  <si>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</si>
  <si>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</si>
  <si>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</si>
  <si>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</si>
  <si>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</si>
  <si>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</si>
  <si>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</si>
  <si>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</si>
  <si>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</si>
  <si>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</si>
  <si>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</si>
  <si>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</si>
  <si>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</si>
  <si>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</si>
  <si>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</si>
  <si>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</si>
  <si>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</si>
  <si>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</si>
  <si>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</si>
  <si>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</si>
  <si>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</si>
  <si>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</si>
  <si>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</si>
  <si>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</si>
  <si>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</si>
  <si>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</si>
  <si>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</si>
  <si>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</si>
  <si>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</si>
  <si>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</si>
  <si>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</si>
  <si>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</si>
  <si>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</si>
  <si>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</si>
  <si>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</si>
  <si>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</si>
  <si>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</si>
  <si>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</si>
  <si>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</si>
  <si>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</si>
  <si>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</si>
  <si>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</si>
  <si>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</si>
  <si>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</si>
  <si>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</si>
  <si>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</si>
  <si>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</si>
  <si>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</si>
  <si>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</si>
  <si>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</si>
  <si>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</si>
  <si>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</si>
  <si>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</si>
  <si>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</si>
  <si>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</si>
  <si>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</si>
  <si>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</si>
  <si>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</si>
  <si>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</si>
  <si>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</si>
  <si>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</si>
  <si>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</si>
  <si>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</si>
  <si>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</si>
  <si>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</si>
  <si>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</si>
  <si>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</si>
  <si>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</si>
  <si>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</si>
  <si>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</si>
  <si>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</si>
  <si>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</si>
  <si>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</si>
  <si>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</si>
  <si>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</si>
  <si>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</si>
  <si>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</si>
  <si>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</si>
  <si>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</si>
  <si>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</si>
  <si>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</si>
  <si>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</si>
  <si>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</si>
  <si>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</si>
  <si>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</si>
  <si>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</si>
  <si>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</si>
  <si>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</si>
  <si>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</si>
  <si>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</si>
  <si>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</si>
  <si>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</si>
  <si>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</si>
  <si>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</si>
  <si>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</si>
  <si>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</si>
  <si>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</si>
  <si>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</si>
  <si>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</si>
  <si>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</si>
  <si>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</si>
  <si>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</si>
  <si>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</si>
  <si>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</si>
  <si>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</si>
  <si>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</si>
  <si>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</si>
  <si>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</si>
  <si>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</si>
  <si>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</si>
  <si>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</si>
  <si>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</si>
  <si>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</si>
  <si>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</si>
  <si>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</si>
  <si>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</si>
  <si>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</si>
  <si>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</si>
  <si>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</si>
  <si>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</si>
  <si>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</si>
  <si>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</si>
  <si>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</si>
  <si>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</si>
  <si>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</si>
  <si>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</si>
  <si>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</si>
  <si>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</si>
  <si>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</si>
  <si>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</si>
  <si>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</si>
  <si>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</si>
  <si>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</si>
  <si>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</si>
  <si>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</si>
  <si>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</si>
  <si>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</si>
  <si>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</si>
  <si>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</si>
  <si>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</si>
  <si>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</si>
  <si>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</si>
  <si>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</si>
  <si>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</si>
  <si>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</si>
  <si>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</si>
  <si>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</si>
  <si>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</si>
  <si>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</si>
  <si>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</si>
  <si>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</si>
  <si>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</si>
  <si>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</si>
  <si>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</si>
  <si>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</si>
  <si>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</si>
  <si>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</si>
  <si>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</si>
  <si>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</si>
  <si>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</si>
  <si>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</si>
  <si>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Objective</t>
  </si>
  <si>
    <t xml:space="preserve">E2 </t>
  </si>
  <si>
    <t>2,797,152 SEO pages in total: 2,733,728 SEO pages with spider tool detection system,  63,424 pages marked "evil" by Baidu with porn &amp; gambling</t>
  </si>
  <si>
    <t>yuan2018</t>
  </si>
  <si>
    <t>46 DEA terms (for automatic labeling), raw data labelled</t>
  </si>
  <si>
    <t>drugs: P=0.666, R=0.620, F1=0.642,  Silk Road P=0.581, R=0.693, F1=0.632</t>
  </si>
  <si>
    <t>Song et. Al (2025)</t>
  </si>
  <si>
    <t>Jin et al. (2023)</t>
  </si>
  <si>
    <t>Yuan et al. (2018)</t>
  </si>
  <si>
    <t>Zhu et al. (2021)</t>
  </si>
  <si>
    <t>Zhao et al. (2016)</t>
  </si>
  <si>
    <t>Thao et al. (2018) (Word2Vec CBOW)</t>
  </si>
  <si>
    <t>Huang et al. (2023)</t>
  </si>
  <si>
    <t>Hughes et al. (2023)</t>
  </si>
  <si>
    <t>Seyler et al. (2021) (KL-Divergence)</t>
  </si>
  <si>
    <t>Seyler et al. (2021)  (KL-Divergence)</t>
  </si>
  <si>
    <t>Li et al. (2024)</t>
  </si>
  <si>
    <t>Ke et al. (2024)</t>
  </si>
  <si>
    <t>Seyler et al (2021)</t>
  </si>
  <si>
    <t>Ke et al. (2022)</t>
  </si>
  <si>
    <t>Hu et al. (2024)</t>
  </si>
  <si>
    <t>Ji et al. (2024)</t>
  </si>
  <si>
    <t>Yuang et al. (2017)</t>
  </si>
  <si>
    <t>Kim et al. (2024)</t>
  </si>
  <si>
    <t xml:space="preserve">The Reddit Drug corpus (Zhu et al. : surface web  discussions, silk Road Forum corpus (Branwen et al., dark web discussions; drug slang report (DEA) --&gt; list of 46 explicit drug terms   </t>
  </si>
  <si>
    <t>Can't say cant?</t>
  </si>
  <si>
    <t>Covering Cracks in Content Moderation: Delexicalized Distant Supervision for Illicit Drug Jargon Detection</t>
  </si>
  <si>
    <t>DarkBert</t>
  </si>
  <si>
    <t>Chinese underground market jargon analysis based on unsupervised learning</t>
  </si>
  <si>
    <t>DarkJargon.net: A Platform for Understanding Underground Conversation with Latent Meaning</t>
  </si>
  <si>
    <t>Reading Thieves' Cant: Automatically Identifying and Understanding Dark Jargons from Cybercrime Marketplaces</t>
  </si>
  <si>
    <t>Argot as a Trust Signal: Slang, Jargon &amp; Reputation on a Large Cybercrime Forum</t>
  </si>
  <si>
    <t>Can't say cant? Measuring and Reasoning of Dark Jargons in Large Language Models</t>
  </si>
  <si>
    <t xml:space="preserve"> MNGG Dataset </t>
  </si>
  <si>
    <t xml:space="preserve"> MNGG Dataset</t>
  </si>
  <si>
    <t>darkbert+ regular bul-
letin board articles from AIHub</t>
  </si>
  <si>
    <t>dea, cybercrime marketplace product list</t>
  </si>
  <si>
    <t>raw data eval</t>
  </si>
  <si>
    <t>Two evaluation datasets based on the raw data, manually annotated 1000 sentences each</t>
  </si>
  <si>
    <t>reddit drug corpus (selfsupervised), silk road Forum corpus by dnmArchives</t>
  </si>
  <si>
    <t xml:space="preserve">ft with CoDA, sample of drug dataset by  (selfsupervised) </t>
  </si>
  <si>
    <t>sample of drug dataset of (selfsupervised})</t>
  </si>
  <si>
    <t>drug: drug dataset by selfsupervised, weapons: weapons dataset by yuan, sex: sexuality dataset by selfsupervised</t>
  </si>
  <si>
    <t>datasets by selfsupervised</t>
  </si>
  <si>
    <t>dark corpus by yuan, clean corpus: web scrape of  1.2 million reddit threads</t>
  </si>
  <si>
    <t>Drugs: dea, weapons:onlineslangdictionary, slangpedia, urban thesaurus, sex: onlineslangdictionary</t>
  </si>
  <si>
    <t>dataset by selfsupervised</t>
  </si>
  <si>
    <t>dataset selfsupervised</t>
  </si>
  <si>
    <t>dataset m by yuan</t>
  </si>
  <si>
    <t>Johannes Bogensperger, Sven Schlarb, Allan Hanbury, Gábor Recski. "DreamDrug - A crowdsourced NER dataset for detecting drugs in darknet markets." (2021)</t>
  </si>
  <si>
    <t>Seventh Workshop on Noisy User-generated Text (W-NUT 2021)</t>
  </si>
  <si>
    <t>korean (but approach is claimed language agnostic)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</si>
</sst>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11"/>
      <color rgb="FF000000"/>
      <name val="Calibri Light"/>
      <family val="2"/>
    </font>
    <font>
      <sz val="11"/>
      <color rgb="FF000000"/>
      <name val="Aptos"/>
      <family val="2"/>
    </font>
    <font>
      <sz val="11"/>
      <name val="Aptos"/>
      <family val="2"/>
    </font>
  </fonts>
  <fills count="2">
    <fill>
      <patternFill patternType="none"/>
    </fill>
    <fill>
      <patternFill patternType="gray125"/>
    </fill>
  </fills>
  <borders count="5">
    <border>
      <left/>
      <right/>
      <top/>
      <bottom/>
      <diagonal/>
    </border>
    <border>
      <left style="thin">
        <color rgb="FFABABAB"/>
      </left>
      <right/>
      <top style="thin">
        <color rgb="FFABABAB"/>
      </top>
      <bottom/>
      <diagonal/>
    </border>
    <border>
      <left style="thin">
        <color rgb="FFABABAB"/>
      </left>
      <right/>
      <top style="thin">
        <color rgb="FFFFFFFF"/>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0" fillId="0" borderId="1" xfId="0" applyBorder="1"/>
    <xf numFmtId="0" fontId="0" fillId="0" borderId="1" xfId="0" applyBorder="1" applyAlignment="1">
      <alignment horizontal="left"/>
    </xf>
    <xf numFmtId="0" fontId="0" fillId="0" borderId="2" xfId="0" applyBorder="1" applyAlignment="1">
      <alignment horizontal="left"/>
    </xf>
    <xf numFmtId="0" fontId="0" fillId="0" borderId="3" xfId="0" applyBorder="1"/>
    <xf numFmtId="0" fontId="0" fillId="0" borderId="4"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3" fontId="0" fillId="0" borderId="0" xfId="0" applyNumberForma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wrapText="1"/>
    </xf>
    <xf numFmtId="0" fontId="11" fillId="0" borderId="0" xfId="0" applyFont="1"/>
    <xf numFmtId="0" fontId="11" fillId="0" borderId="0" xfId="0" applyFont="1" applyAlignment="1">
      <alignment wrapText="1"/>
    </xf>
    <xf numFmtId="0" fontId="12" fillId="0" borderId="0" xfId="0" applyFont="1" applyAlignment="1">
      <alignment horizontal="left" vertical="top" wrapText="1"/>
    </xf>
    <xf numFmtId="0" fontId="5" fillId="0" borderId="0" xfId="0" applyFont="1" applyAlignment="1">
      <alignmen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xf numFmtId="0" fontId="14" fillId="0" borderId="0" xfId="0" applyFont="1" applyAlignment="1">
      <alignment wrapText="1"/>
    </xf>
    <xf numFmtId="0" fontId="14" fillId="0" borderId="0" xfId="0" applyFont="1" applyAlignment="1">
      <alignment horizontal="left" vertical="top"/>
    </xf>
    <xf numFmtId="0" fontId="10" fillId="0" borderId="0" xfId="0" applyFont="1"/>
    <xf numFmtId="0" fontId="0" fillId="0" borderId="0" xfId="0" applyAlignment="1">
      <alignment horizontal="center"/>
    </xf>
    <xf numFmtId="0" fontId="0" fillId="0" borderId="0" xfId="0" applyAlignment="1">
      <alignment horizontal="center" vertical="top" wrapText="1"/>
    </xf>
  </cellXfs>
  <cellStyles count="2">
    <cellStyle name="Hyperlink" xfId="1" xr:uid="{1EB5855D-A8E9-42DE-A743-8C096ABB6D75}"/>
    <cellStyle name="Standard"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barChart>
        <c:barDir val="col"/>
        <c:grouping val="stacked"/>
        <c:varyColors val="0"/>
        <c:ser>
          <c:idx val="0"/>
          <c:order val="0"/>
          <c:tx>
            <c:strRef>
              <c:f>years_dist!$B$1:$B$1</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years_dist!$B$2:$B$11</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years_dist!$C$1:$C$1</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years_dist!$C$2:$C$11</c:f>
              <c:numCache>
                <c:formatCode>General</c:formatCode>
                <c:ptCount val="10"/>
                <c:pt idx="0">
                  <c:v>1</c:v>
                </c:pt>
                <c:pt idx="2">
                  <c:v>2</c:v>
                </c:pt>
                <c:pt idx="3">
                  <c:v>1</c:v>
                </c:pt>
                <c:pt idx="4">
                  <c:v>1</c:v>
                </c:pt>
                <c:pt idx="5">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years_dist!$D$1:$D$1</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years_dist!$A$2:$A$11</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years_dist!$D$2:$D$11</c:f>
              <c:numCache>
                <c:formatCode>General</c:formatCode>
                <c:ptCount val="10"/>
                <c:pt idx="0">
                  <c:v>1</c:v>
                </c:pt>
                <c:pt idx="1">
                  <c:v>1</c:v>
                </c:pt>
                <c:pt idx="2">
                  <c:v>3</c:v>
                </c:pt>
                <c:pt idx="3">
                  <c:v>2</c:v>
                </c:pt>
                <c:pt idx="4">
                  <c:v>1</c:v>
                </c:pt>
                <c:pt idx="5">
                  <c:v>4</c:v>
                </c:pt>
                <c:pt idx="6">
                  <c:v>2</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barChart>
        <c:barDir val="col"/>
        <c:grouping val="stacked"/>
        <c:varyColors val="0"/>
        <c:ser>
          <c:idx val="0"/>
          <c:order val="0"/>
          <c:tx>
            <c:strRef>
              <c:f>database_dist!$B$10:$B$10</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database_dist!$A$11:$A$17</c:f>
              <c:strCache>
                <c:ptCount val="7"/>
                <c:pt idx="0">
                  <c:v>Springer</c:v>
                </c:pt>
                <c:pt idx="1">
                  <c:v>ACL</c:v>
                </c:pt>
                <c:pt idx="2">
                  <c:v>ACM</c:v>
                </c:pt>
                <c:pt idx="3">
                  <c:v>dblp</c:v>
                </c:pt>
                <c:pt idx="4">
                  <c:v>IEEE Xplore</c:v>
                </c:pt>
                <c:pt idx="5">
                  <c:v>sciencedirect</c:v>
                </c:pt>
                <c:pt idx="6">
                  <c:v>other</c:v>
                </c:pt>
              </c:strCache>
            </c:strRef>
          </c:cat>
          <c:val>
            <c:numRef>
              <c:f>database_dist!$B$11:$B$17</c:f>
              <c:numCache>
                <c:formatCode>General</c:formatCode>
                <c:ptCount val="7"/>
                <c:pt idx="0">
                  <c:v>1</c:v>
                </c:pt>
                <c:pt idx="1">
                  <c:v>1</c:v>
                </c:pt>
                <c:pt idx="2">
                  <c:v>5</c:v>
                </c:pt>
                <c:pt idx="3">
                  <c:v>1</c:v>
                </c:pt>
                <c:pt idx="4">
                  <c:v>4</c:v>
                </c:pt>
                <c:pt idx="5">
                  <c:v>1</c:v>
                </c:pt>
                <c:pt idx="6">
                  <c:v>3</c:v>
                </c:pt>
              </c:numCache>
            </c:numRef>
          </c:val>
          <c:extLst>
            <c:ext xmlns:c16="http://schemas.microsoft.com/office/drawing/2014/chart" uri="{C3380CC4-5D6E-409C-BE32-E72D297353CC}">
              <c16:uniqueId val="{00000000-47A4-4EC7-A9A4-96E1201F8C6B}"/>
            </c:ext>
          </c:extLst>
        </c:ser>
        <c:ser>
          <c:idx val="1"/>
          <c:order val="1"/>
          <c:tx>
            <c:strRef>
              <c:f>database_dist!$C$10:$C$10</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database_dist!$A$11:$A$17</c:f>
              <c:strCache>
                <c:ptCount val="7"/>
                <c:pt idx="0">
                  <c:v>Springer</c:v>
                </c:pt>
                <c:pt idx="1">
                  <c:v>ACL</c:v>
                </c:pt>
                <c:pt idx="2">
                  <c:v>ACM</c:v>
                </c:pt>
                <c:pt idx="3">
                  <c:v>dblp</c:v>
                </c:pt>
                <c:pt idx="4">
                  <c:v>IEEE Xplore</c:v>
                </c:pt>
                <c:pt idx="5">
                  <c:v>sciencedirect</c:v>
                </c:pt>
                <c:pt idx="6">
                  <c:v>other</c:v>
                </c:pt>
              </c:strCache>
            </c:strRef>
          </c:cat>
          <c:val>
            <c:numRef>
              <c:f>database_dist!$C$11:$C$17</c:f>
              <c:numCache>
                <c:formatCode>General</c:formatCode>
                <c:ptCount val="7"/>
                <c:pt idx="1">
                  <c:v>4</c:v>
                </c:pt>
                <c:pt idx="5">
                  <c:v>1</c:v>
                </c:pt>
                <c:pt idx="6">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database_dist!$D$10:$D$10</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database_dist!$A$11:$A$17</c:f>
              <c:strCache>
                <c:ptCount val="7"/>
                <c:pt idx="0">
                  <c:v>Springer</c:v>
                </c:pt>
                <c:pt idx="1">
                  <c:v>ACL</c:v>
                </c:pt>
                <c:pt idx="2">
                  <c:v>ACM</c:v>
                </c:pt>
                <c:pt idx="3">
                  <c:v>dblp</c:v>
                </c:pt>
                <c:pt idx="4">
                  <c:v>IEEE Xplore</c:v>
                </c:pt>
                <c:pt idx="5">
                  <c:v>sciencedirect</c:v>
                </c:pt>
                <c:pt idx="6">
                  <c:v>other</c:v>
                </c:pt>
              </c:strCache>
            </c:strRef>
          </c:cat>
          <c:val>
            <c:numRef>
              <c:f>database_dist!$D$11:$D$17</c:f>
              <c:numCache>
                <c:formatCode>General</c:formatCode>
                <c:ptCount val="7"/>
                <c:pt idx="0">
                  <c:v>1</c:v>
                </c:pt>
                <c:pt idx="1">
                  <c:v>5</c:v>
                </c:pt>
                <c:pt idx="2">
                  <c:v>5</c:v>
                </c:pt>
                <c:pt idx="3">
                  <c:v>1</c:v>
                </c:pt>
                <c:pt idx="4">
                  <c:v>4</c:v>
                </c:pt>
                <c:pt idx="5">
                  <c:v>2</c:v>
                </c:pt>
                <c:pt idx="6">
                  <c:v>6</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terms_dist!$B$1:$B$1</c:f>
              <c:strCache>
                <c:ptCount val="1"/>
                <c:pt idx="0">
                  <c:v>Count of jargon</c:v>
                </c:pt>
              </c:strCache>
            </c:strRef>
          </c:tx>
          <c:spPr>
            <a:solidFill>
              <a:srgbClr val="156082"/>
            </a:solidFill>
            <a:ln>
              <a:noFill/>
            </a:ln>
          </c:spPr>
          <c:invertIfNegative val="0"/>
          <c:cat>
            <c:strRef>
              <c:f>terms_dist!$A$2:$A$8</c:f>
              <c:strCache>
                <c:ptCount val="7"/>
                <c:pt idx="0">
                  <c:v>argot</c:v>
                </c:pt>
                <c:pt idx="1">
                  <c:v>Black keywords</c:v>
                </c:pt>
                <c:pt idx="2">
                  <c:v>cant</c:v>
                </c:pt>
                <c:pt idx="3">
                  <c:v>cybercrime coded words</c:v>
                </c:pt>
                <c:pt idx="4">
                  <c:v>dark jargon</c:v>
                </c:pt>
                <c:pt idx="5">
                  <c:v>euphemism</c:v>
                </c:pt>
                <c:pt idx="6">
                  <c:v>jargon</c:v>
                </c:pt>
              </c:strCache>
            </c:strRef>
          </c:cat>
          <c:val>
            <c:numRef>
              <c:f>terms_dist!$B$2:$B$8</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4</xdr:col>
      <xdr:colOff>254003</xdr:colOff>
      <xdr:row>1</xdr:row>
      <xdr:rowOff>63503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4</xdr:col>
      <xdr:colOff>397883</xdr:colOff>
      <xdr:row>10</xdr:row>
      <xdr:rowOff>15772</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38823</xdr:colOff>
      <xdr:row>1</xdr:row>
      <xdr:rowOff>88898</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baseColWidth="10" defaultColWidth="8.88671875"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00.8"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405</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406</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opLeftCell="N1" zoomScaleNormal="100" workbookViewId="0">
      <selection activeCell="W10" sqref="W10"/>
    </sheetView>
  </sheetViews>
  <sheetFormatPr baseColWidth="10" defaultColWidth="8.88671875"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407</v>
      </c>
      <c r="K1" s="7" t="s">
        <v>458</v>
      </c>
      <c r="L1" s="7" t="s">
        <v>31</v>
      </c>
      <c r="M1" s="7" t="s">
        <v>446</v>
      </c>
      <c r="N1" s="7" t="s">
        <v>32</v>
      </c>
      <c r="O1" s="7" t="s">
        <v>445</v>
      </c>
      <c r="P1" s="7" t="s">
        <v>266</v>
      </c>
      <c r="Q1" s="7" t="s">
        <v>33</v>
      </c>
      <c r="R1" s="8" t="s">
        <v>34</v>
      </c>
      <c r="S1" s="8" t="s">
        <v>35</v>
      </c>
      <c r="T1" s="8" t="s">
        <v>36</v>
      </c>
      <c r="U1" s="8" t="s">
        <v>37</v>
      </c>
      <c r="V1" s="8" t="s">
        <v>38</v>
      </c>
      <c r="W1" s="8" t="s">
        <v>39</v>
      </c>
    </row>
    <row r="2" spans="1:26" ht="172.8" x14ac:dyDescent="0.3">
      <c r="A2" s="9"/>
      <c r="J2" s="11" t="s">
        <v>419</v>
      </c>
      <c r="K2" s="11" t="s">
        <v>221</v>
      </c>
      <c r="L2" s="11" t="s">
        <v>440</v>
      </c>
      <c r="M2" s="11" t="s">
        <v>213</v>
      </c>
      <c r="N2" s="11" t="s">
        <v>48</v>
      </c>
      <c r="O2" s="11" t="s">
        <v>447</v>
      </c>
      <c r="P2" s="11" t="s">
        <v>230</v>
      </c>
      <c r="Q2" s="11" t="s">
        <v>100</v>
      </c>
      <c r="R2" s="11" t="s">
        <v>482</v>
      </c>
      <c r="S2" s="11" t="s">
        <v>101</v>
      </c>
      <c r="T2" s="11" t="s">
        <v>102</v>
      </c>
      <c r="U2" s="11" t="s">
        <v>103</v>
      </c>
      <c r="V2" s="11" t="s">
        <v>46</v>
      </c>
      <c r="W2" s="11" t="s">
        <v>424</v>
      </c>
    </row>
    <row r="3" spans="1:26" ht="100.8" x14ac:dyDescent="0.3">
      <c r="A3" s="9"/>
      <c r="J3" s="11" t="s">
        <v>412</v>
      </c>
      <c r="K3" s="11" t="s">
        <v>212</v>
      </c>
      <c r="L3" s="11" t="s">
        <v>440</v>
      </c>
      <c r="M3" s="11" t="s">
        <v>213</v>
      </c>
      <c r="N3" s="11" t="s">
        <v>225</v>
      </c>
      <c r="O3" s="11"/>
      <c r="P3" s="11" t="s">
        <v>239</v>
      </c>
      <c r="Q3" s="11" t="s">
        <v>66</v>
      </c>
      <c r="R3" s="11" t="s">
        <v>67</v>
      </c>
      <c r="S3" s="11" t="s">
        <v>68</v>
      </c>
      <c r="T3" s="11" t="s">
        <v>69</v>
      </c>
      <c r="U3" s="11" t="s">
        <v>70</v>
      </c>
      <c r="V3" s="11" t="s">
        <v>46</v>
      </c>
      <c r="W3" s="11" t="s">
        <v>425</v>
      </c>
      <c r="X3" s="1"/>
      <c r="Y3" s="1"/>
      <c r="Z3" s="1"/>
    </row>
    <row r="4" spans="1:26" ht="244.8" x14ac:dyDescent="0.3">
      <c r="A4" s="9"/>
      <c r="J4" s="11" t="s">
        <v>408</v>
      </c>
      <c r="K4" s="11" t="s">
        <v>207</v>
      </c>
      <c r="L4" s="11" t="s">
        <v>441</v>
      </c>
      <c r="M4" s="11" t="s">
        <v>268</v>
      </c>
      <c r="N4" s="11" t="s">
        <v>116</v>
      </c>
      <c r="O4" s="11" t="s">
        <v>448</v>
      </c>
      <c r="P4" s="11" t="s">
        <v>239</v>
      </c>
      <c r="Q4" s="11" t="s">
        <v>49</v>
      </c>
      <c r="R4" s="11" t="s">
        <v>50</v>
      </c>
      <c r="S4" s="11" t="s">
        <v>51</v>
      </c>
      <c r="T4" s="11" t="s">
        <v>52</v>
      </c>
      <c r="U4" s="11" t="s">
        <v>45</v>
      </c>
      <c r="V4" s="11" t="s">
        <v>46</v>
      </c>
      <c r="W4" s="25" t="s">
        <v>426</v>
      </c>
      <c r="X4" s="1"/>
      <c r="Y4" s="1"/>
      <c r="Z4" s="1"/>
    </row>
    <row r="5" spans="1:26" ht="216" x14ac:dyDescent="0.3">
      <c r="A5" s="9"/>
      <c r="J5" s="11" t="s">
        <v>417</v>
      </c>
      <c r="K5" s="11" t="s">
        <v>207</v>
      </c>
      <c r="L5" s="11" t="s">
        <v>441</v>
      </c>
      <c r="M5" s="11" t="s">
        <v>220</v>
      </c>
      <c r="N5" s="11" t="s">
        <v>85</v>
      </c>
      <c r="O5" s="11" t="s">
        <v>449</v>
      </c>
      <c r="P5" s="11" t="s">
        <v>239</v>
      </c>
      <c r="Q5" s="11" t="s">
        <v>93</v>
      </c>
      <c r="R5" s="11" t="s">
        <v>94</v>
      </c>
      <c r="S5" s="11" t="s">
        <v>95</v>
      </c>
      <c r="T5" s="11" t="s">
        <v>96</v>
      </c>
      <c r="U5" s="11" t="s">
        <v>97</v>
      </c>
      <c r="V5" s="11" t="s">
        <v>46</v>
      </c>
      <c r="W5" s="25" t="s">
        <v>427</v>
      </c>
      <c r="X5" s="1"/>
      <c r="Y5" s="1"/>
      <c r="Z5" s="1"/>
    </row>
    <row r="6" spans="1:26" ht="288" x14ac:dyDescent="0.3">
      <c r="A6" s="9"/>
      <c r="J6" s="11" t="s">
        <v>423</v>
      </c>
      <c r="K6" s="11" t="s">
        <v>207</v>
      </c>
      <c r="L6" s="11" t="s">
        <v>441</v>
      </c>
      <c r="M6" s="11" t="s">
        <v>213</v>
      </c>
      <c r="N6" s="11" t="s">
        <v>225</v>
      </c>
      <c r="O6" s="11" t="s">
        <v>447</v>
      </c>
      <c r="P6" s="11" t="s">
        <v>239</v>
      </c>
      <c r="Q6" s="11" t="s">
        <v>117</v>
      </c>
      <c r="R6" s="11" t="s">
        <v>118</v>
      </c>
      <c r="S6" s="11" t="s">
        <v>119</v>
      </c>
      <c r="T6" s="11" t="s">
        <v>44</v>
      </c>
      <c r="U6" s="11" t="s">
        <v>120</v>
      </c>
      <c r="V6" s="11" t="s">
        <v>46</v>
      </c>
      <c r="W6" s="11" t="s">
        <v>428</v>
      </c>
      <c r="X6" s="1"/>
      <c r="Y6" s="1"/>
      <c r="Z6" s="1"/>
    </row>
    <row r="7" spans="1:26" ht="201.6" x14ac:dyDescent="0.3">
      <c r="A7" s="9"/>
      <c r="J7" s="11" t="s">
        <v>409</v>
      </c>
      <c r="K7" s="11" t="s">
        <v>207</v>
      </c>
      <c r="L7" s="11" t="s">
        <v>441</v>
      </c>
      <c r="M7" s="11" t="s">
        <v>213</v>
      </c>
      <c r="N7" s="11" t="s">
        <v>208</v>
      </c>
      <c r="O7" s="11" t="s">
        <v>447</v>
      </c>
      <c r="P7" s="11" t="s">
        <v>459</v>
      </c>
      <c r="Q7" s="11" t="s">
        <v>41</v>
      </c>
      <c r="R7" s="11" t="s">
        <v>42</v>
      </c>
      <c r="S7" s="11" t="s">
        <v>43</v>
      </c>
      <c r="T7" s="11" t="s">
        <v>44</v>
      </c>
      <c r="U7" s="11" t="s">
        <v>45</v>
      </c>
      <c r="V7" s="11" t="s">
        <v>46</v>
      </c>
      <c r="W7" s="24" t="s">
        <v>429</v>
      </c>
      <c r="X7" s="1"/>
      <c r="Y7" s="1"/>
      <c r="Z7" s="1"/>
    </row>
    <row r="8" spans="1:26" ht="115.2" x14ac:dyDescent="0.3">
      <c r="A8" s="6"/>
      <c r="J8" s="11" t="s">
        <v>422</v>
      </c>
      <c r="K8" s="11" t="s">
        <v>207</v>
      </c>
      <c r="L8" s="11" t="s">
        <v>444</v>
      </c>
      <c r="M8" s="11" t="s">
        <v>224</v>
      </c>
      <c r="N8" s="11" t="s">
        <v>85</v>
      </c>
      <c r="O8" s="11" t="s">
        <v>450</v>
      </c>
      <c r="P8" s="11" t="s">
        <v>239</v>
      </c>
      <c r="Q8" s="11" t="s">
        <v>111</v>
      </c>
      <c r="R8" s="11" t="s">
        <v>112</v>
      </c>
      <c r="S8" s="11" t="s">
        <v>113</v>
      </c>
      <c r="T8" s="11" t="s">
        <v>75</v>
      </c>
      <c r="U8" s="11" t="s">
        <v>114</v>
      </c>
      <c r="V8" s="11" t="s">
        <v>77</v>
      </c>
      <c r="W8" s="11" t="s">
        <v>430</v>
      </c>
      <c r="X8" s="1"/>
      <c r="Y8" s="1"/>
      <c r="Z8" s="1"/>
    </row>
    <row r="9" spans="1:26" ht="144" x14ac:dyDescent="0.3">
      <c r="A9" s="9"/>
      <c r="J9" s="11" t="s">
        <v>413</v>
      </c>
      <c r="K9" s="11" t="s">
        <v>218</v>
      </c>
      <c r="L9" s="11" t="s">
        <v>440</v>
      </c>
      <c r="M9" s="11" t="s">
        <v>214</v>
      </c>
      <c r="N9" s="11" t="s">
        <v>99</v>
      </c>
      <c r="O9" s="11" t="s">
        <v>450</v>
      </c>
      <c r="P9" s="11" t="s">
        <v>239</v>
      </c>
      <c r="Q9" s="11" t="s">
        <v>72</v>
      </c>
      <c r="R9" s="11" t="s">
        <v>73</v>
      </c>
      <c r="S9" s="26" t="s">
        <v>74</v>
      </c>
      <c r="T9" s="11" t="s">
        <v>75</v>
      </c>
      <c r="U9" s="11" t="s">
        <v>76</v>
      </c>
      <c r="V9" s="11" t="s">
        <v>77</v>
      </c>
      <c r="W9" s="11" t="s">
        <v>431</v>
      </c>
      <c r="X9" s="1"/>
      <c r="Y9" s="1"/>
      <c r="Z9" s="1"/>
    </row>
    <row r="10" spans="1:26" ht="172.8" x14ac:dyDescent="0.3">
      <c r="A10" s="9"/>
      <c r="J10" s="11" t="s">
        <v>418</v>
      </c>
      <c r="K10" s="26" t="s">
        <v>215</v>
      </c>
      <c r="L10" s="11" t="s">
        <v>444</v>
      </c>
      <c r="M10" s="11" t="s">
        <v>228</v>
      </c>
      <c r="N10" s="26" t="s">
        <v>219</v>
      </c>
      <c r="O10" s="26" t="s">
        <v>451</v>
      </c>
      <c r="P10" s="26" t="s">
        <v>263</v>
      </c>
      <c r="Q10" s="26"/>
      <c r="R10" s="26"/>
      <c r="S10" s="26"/>
      <c r="T10" s="26"/>
      <c r="U10" s="26"/>
      <c r="V10" s="26" t="s">
        <v>46</v>
      </c>
      <c r="W10" s="26"/>
      <c r="X10" s="1"/>
      <c r="Y10" s="1"/>
      <c r="Z10" s="1"/>
    </row>
    <row r="11" spans="1:26" ht="129.6" x14ac:dyDescent="0.3">
      <c r="A11" s="9"/>
      <c r="J11" s="11" t="s">
        <v>414</v>
      </c>
      <c r="K11" s="11" t="s">
        <v>215</v>
      </c>
      <c r="L11" s="11" t="s">
        <v>443</v>
      </c>
      <c r="M11" s="11" t="s">
        <v>216</v>
      </c>
      <c r="N11" s="11" t="s">
        <v>217</v>
      </c>
      <c r="O11" s="11" t="s">
        <v>450</v>
      </c>
      <c r="P11" s="11" t="s">
        <v>239</v>
      </c>
      <c r="Q11" s="11" t="s">
        <v>79</v>
      </c>
      <c r="R11" s="11" t="s">
        <v>80</v>
      </c>
      <c r="S11" s="11" t="s">
        <v>81</v>
      </c>
      <c r="T11" s="11" t="s">
        <v>75</v>
      </c>
      <c r="U11" s="11" t="s">
        <v>82</v>
      </c>
      <c r="V11" s="11" t="s">
        <v>77</v>
      </c>
      <c r="W11" s="24" t="s">
        <v>83</v>
      </c>
      <c r="X11" s="1"/>
      <c r="Y11" s="1"/>
      <c r="Z11" s="1"/>
    </row>
    <row r="12" spans="1:26" ht="331.2" x14ac:dyDescent="0.3">
      <c r="J12" s="11" t="s">
        <v>421</v>
      </c>
      <c r="K12" s="11" t="s">
        <v>215</v>
      </c>
      <c r="L12" s="11" t="s">
        <v>442</v>
      </c>
      <c r="M12" s="11" t="s">
        <v>222</v>
      </c>
      <c r="N12" s="11" t="s">
        <v>223</v>
      </c>
      <c r="O12" s="11" t="s">
        <v>449</v>
      </c>
      <c r="P12" s="11" t="s">
        <v>264</v>
      </c>
      <c r="Q12" s="11" t="s">
        <v>105</v>
      </c>
      <c r="R12" s="11" t="s">
        <v>106</v>
      </c>
      <c r="S12" s="11" t="s">
        <v>107</v>
      </c>
      <c r="T12" s="26" t="s">
        <v>108</v>
      </c>
      <c r="U12" s="11" t="s">
        <v>109</v>
      </c>
      <c r="V12" s="11" t="s">
        <v>46</v>
      </c>
      <c r="W12" s="11" t="s">
        <v>432</v>
      </c>
      <c r="X12" s="1"/>
      <c r="Y12" s="1"/>
      <c r="Z12" s="1"/>
    </row>
    <row r="13" spans="1:26" ht="187.2" x14ac:dyDescent="0.3">
      <c r="A13" s="6"/>
      <c r="I13" s="10"/>
      <c r="J13" s="11" t="s">
        <v>416</v>
      </c>
      <c r="K13" s="11" t="s">
        <v>207</v>
      </c>
      <c r="L13" s="11" t="s">
        <v>441</v>
      </c>
      <c r="M13" s="11" t="s">
        <v>227</v>
      </c>
      <c r="N13" s="11" t="s">
        <v>219</v>
      </c>
      <c r="O13" s="11" t="s">
        <v>452</v>
      </c>
      <c r="P13" s="11" t="s">
        <v>230</v>
      </c>
      <c r="Q13" s="11" t="s">
        <v>127</v>
      </c>
      <c r="R13" s="11" t="s">
        <v>128</v>
      </c>
      <c r="S13" s="11" t="s">
        <v>129</v>
      </c>
      <c r="T13" s="11" t="s">
        <v>57</v>
      </c>
      <c r="U13" s="11" t="s">
        <v>130</v>
      </c>
      <c r="V13" s="11" t="s">
        <v>77</v>
      </c>
      <c r="W13" s="11" t="s">
        <v>131</v>
      </c>
    </row>
    <row r="14" spans="1:26" ht="244.8" x14ac:dyDescent="0.3">
      <c r="A14" s="9"/>
      <c r="J14" s="11" t="s">
        <v>411</v>
      </c>
      <c r="K14" s="11" t="s">
        <v>209</v>
      </c>
      <c r="L14" s="11" t="s">
        <v>440</v>
      </c>
      <c r="M14" s="11" t="s">
        <v>269</v>
      </c>
      <c r="N14" s="11" t="s">
        <v>267</v>
      </c>
      <c r="O14" s="11" t="s">
        <v>449</v>
      </c>
      <c r="P14" s="11" t="s">
        <v>265</v>
      </c>
      <c r="Q14" s="11" t="s">
        <v>54</v>
      </c>
      <c r="R14" s="11" t="s">
        <v>55</v>
      </c>
      <c r="S14" s="11" t="s">
        <v>56</v>
      </c>
      <c r="T14" s="11" t="s">
        <v>57</v>
      </c>
      <c r="U14" s="11" t="s">
        <v>58</v>
      </c>
      <c r="V14" s="11" t="s">
        <v>46</v>
      </c>
      <c r="W14" s="11" t="s">
        <v>433</v>
      </c>
      <c r="X14" s="1"/>
      <c r="Y14" s="1"/>
      <c r="Z14" s="1"/>
    </row>
    <row r="15" spans="1:26" ht="172.8" x14ac:dyDescent="0.3">
      <c r="A15" s="9"/>
      <c r="J15" s="11" t="s">
        <v>410</v>
      </c>
      <c r="K15" s="11" t="s">
        <v>229</v>
      </c>
      <c r="L15" s="11" t="s">
        <v>440</v>
      </c>
      <c r="M15" s="11" t="s">
        <v>210</v>
      </c>
      <c r="N15" s="11" t="s">
        <v>211</v>
      </c>
      <c r="O15" s="11" t="s">
        <v>453</v>
      </c>
      <c r="P15" s="11" t="s">
        <v>255</v>
      </c>
      <c r="Q15" s="11" t="s">
        <v>60</v>
      </c>
      <c r="R15" s="11" t="s">
        <v>61</v>
      </c>
      <c r="S15" s="11" t="s">
        <v>62</v>
      </c>
      <c r="T15" s="11" t="s">
        <v>63</v>
      </c>
      <c r="U15" s="11" t="s">
        <v>64</v>
      </c>
      <c r="V15" s="11" t="s">
        <v>46</v>
      </c>
      <c r="W15" s="11" t="s">
        <v>434</v>
      </c>
      <c r="X15" s="1"/>
      <c r="Y15" s="1"/>
      <c r="Z15" s="1"/>
    </row>
    <row r="16" spans="1:26" ht="288" x14ac:dyDescent="0.3">
      <c r="A16" s="9"/>
      <c r="J16" s="11" t="s">
        <v>420</v>
      </c>
      <c r="K16" s="26" t="s">
        <v>215</v>
      </c>
      <c r="L16" s="26" t="s">
        <v>439</v>
      </c>
      <c r="M16" s="11" t="s">
        <v>226</v>
      </c>
      <c r="N16" s="26" t="s">
        <v>219</v>
      </c>
      <c r="O16" s="26" t="s">
        <v>449</v>
      </c>
      <c r="P16" s="26" t="s">
        <v>258</v>
      </c>
      <c r="Q16" s="26" t="s">
        <v>122</v>
      </c>
      <c r="R16" s="11" t="s">
        <v>460</v>
      </c>
      <c r="S16" s="26" t="s">
        <v>123</v>
      </c>
      <c r="T16" s="11" t="s">
        <v>124</v>
      </c>
      <c r="U16" s="11" t="s">
        <v>125</v>
      </c>
      <c r="V16" s="11" t="s">
        <v>77</v>
      </c>
      <c r="W16" s="11" t="s">
        <v>435</v>
      </c>
      <c r="X16" s="1"/>
      <c r="Y16" s="1"/>
      <c r="Z16" s="1"/>
    </row>
    <row r="17" spans="1:26" ht="201.6" x14ac:dyDescent="0.3">
      <c r="A17" s="9"/>
      <c r="J17" s="11" t="s">
        <v>415</v>
      </c>
      <c r="K17" s="11" t="s">
        <v>437</v>
      </c>
      <c r="L17" s="11" t="s">
        <v>438</v>
      </c>
      <c r="M17" s="11" t="s">
        <v>270</v>
      </c>
      <c r="N17" s="11" t="s">
        <v>219</v>
      </c>
      <c r="O17" s="11" t="s">
        <v>454</v>
      </c>
      <c r="P17" s="11" t="s">
        <v>255</v>
      </c>
      <c r="Q17" s="11" t="s">
        <v>86</v>
      </c>
      <c r="R17" s="11" t="s">
        <v>87</v>
      </c>
      <c r="S17" s="11" t="s">
        <v>88</v>
      </c>
      <c r="T17" s="11" t="s">
        <v>89</v>
      </c>
      <c r="U17" s="11" t="s">
        <v>90</v>
      </c>
      <c r="V17" s="11" t="s">
        <v>509</v>
      </c>
      <c r="W17" s="11" t="s">
        <v>436</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opLeftCell="A4" workbookViewId="0">
      <selection activeCell="D30" sqref="D30"/>
    </sheetView>
  </sheetViews>
  <sheetFormatPr baseColWidth="10" defaultColWidth="8.88671875" defaultRowHeight="14.4" x14ac:dyDescent="0.3"/>
  <cols>
    <col min="1" max="1" width="27" customWidth="1"/>
    <col min="2" max="3" width="11.5546875" customWidth="1"/>
    <col min="4" max="4" width="25" customWidth="1"/>
    <col min="5" max="5" width="19" style="1" customWidth="1"/>
  </cols>
  <sheetData>
    <row r="1" spans="1:7" x14ac:dyDescent="0.3">
      <c r="A1" t="s">
        <v>136</v>
      </c>
      <c r="B1" t="s">
        <v>231</v>
      </c>
      <c r="C1" t="s">
        <v>233</v>
      </c>
      <c r="D1" t="s">
        <v>238</v>
      </c>
      <c r="E1" s="1" t="s">
        <v>232</v>
      </c>
      <c r="F1" t="s">
        <v>30</v>
      </c>
      <c r="G1" t="s">
        <v>262</v>
      </c>
    </row>
    <row r="2" spans="1:7" ht="57.6" x14ac:dyDescent="0.3">
      <c r="A2" s="2" t="s">
        <v>464</v>
      </c>
      <c r="B2" s="2" t="s">
        <v>230</v>
      </c>
      <c r="C2" s="2" t="s">
        <v>234</v>
      </c>
      <c r="D2" s="1"/>
      <c r="E2" s="2" t="s">
        <v>463</v>
      </c>
      <c r="F2" s="2" t="s">
        <v>156</v>
      </c>
    </row>
    <row r="3" spans="1:7" ht="82.8" x14ac:dyDescent="0.3">
      <c r="A3" s="2"/>
      <c r="B3" s="2"/>
      <c r="C3" s="2"/>
      <c r="D3" s="1" t="s">
        <v>465</v>
      </c>
      <c r="E3" s="32" t="s">
        <v>235</v>
      </c>
      <c r="F3" s="2"/>
    </row>
    <row r="4" spans="1:7" ht="57.6" x14ac:dyDescent="0.3">
      <c r="A4" s="2"/>
      <c r="B4" s="2"/>
      <c r="C4" s="2"/>
      <c r="D4" s="1" t="s">
        <v>466</v>
      </c>
      <c r="E4" s="2" t="s">
        <v>236</v>
      </c>
      <c r="F4" s="2"/>
    </row>
    <row r="5" spans="1:7" ht="57.6" x14ac:dyDescent="0.3">
      <c r="A5" s="2"/>
      <c r="B5" s="2"/>
      <c r="C5" s="2"/>
      <c r="D5" s="1" t="s">
        <v>467</v>
      </c>
      <c r="E5" s="2" t="s">
        <v>237</v>
      </c>
      <c r="F5" s="2"/>
    </row>
    <row r="6" spans="1:7" x14ac:dyDescent="0.3">
      <c r="A6" s="1" t="s">
        <v>465</v>
      </c>
      <c r="B6" t="s">
        <v>239</v>
      </c>
      <c r="C6" t="s">
        <v>240</v>
      </c>
      <c r="E6" s="1">
        <v>0.6</v>
      </c>
      <c r="F6" t="s">
        <v>156</v>
      </c>
    </row>
    <row r="7" spans="1:7" ht="28.8" x14ac:dyDescent="0.3">
      <c r="A7" s="2" t="s">
        <v>470</v>
      </c>
      <c r="B7" t="s">
        <v>239</v>
      </c>
      <c r="C7" t="s">
        <v>244</v>
      </c>
      <c r="E7" s="1" t="s">
        <v>241</v>
      </c>
      <c r="F7" t="s">
        <v>156</v>
      </c>
    </row>
    <row r="8" spans="1:7" ht="28.8" x14ac:dyDescent="0.3">
      <c r="A8" s="2" t="s">
        <v>472</v>
      </c>
      <c r="B8" t="s">
        <v>260</v>
      </c>
      <c r="C8" t="s">
        <v>242</v>
      </c>
      <c r="E8" s="1" t="s">
        <v>243</v>
      </c>
      <c r="F8" t="s">
        <v>156</v>
      </c>
    </row>
    <row r="9" spans="1:7" ht="28.8" x14ac:dyDescent="0.3">
      <c r="A9" s="1" t="s">
        <v>467</v>
      </c>
      <c r="B9" t="s">
        <v>239</v>
      </c>
      <c r="C9" t="s">
        <v>240</v>
      </c>
      <c r="E9" s="1" t="s">
        <v>245</v>
      </c>
      <c r="F9" t="s">
        <v>156</v>
      </c>
      <c r="G9" t="s">
        <v>156</v>
      </c>
    </row>
    <row r="10" spans="1:7" ht="28.8" x14ac:dyDescent="0.3">
      <c r="A10" s="2"/>
      <c r="D10" s="1" t="s">
        <v>466</v>
      </c>
      <c r="E10" s="1" t="s">
        <v>246</v>
      </c>
    </row>
    <row r="11" spans="1:7" x14ac:dyDescent="0.3">
      <c r="A11" s="2" t="s">
        <v>478</v>
      </c>
      <c r="B11" t="s">
        <v>239</v>
      </c>
      <c r="C11" t="s">
        <v>244</v>
      </c>
      <c r="E11" s="1">
        <v>0.31</v>
      </c>
      <c r="F11" t="s">
        <v>156</v>
      </c>
    </row>
    <row r="12" spans="1:7" ht="28.8" x14ac:dyDescent="0.3">
      <c r="A12" s="2" t="s">
        <v>469</v>
      </c>
      <c r="B12" t="s">
        <v>239</v>
      </c>
      <c r="C12" t="s">
        <v>240</v>
      </c>
      <c r="E12" s="1">
        <v>0.60560000000000003</v>
      </c>
    </row>
    <row r="13" spans="1:7" x14ac:dyDescent="0.3">
      <c r="A13" s="2" t="s">
        <v>477</v>
      </c>
      <c r="B13" t="s">
        <v>239</v>
      </c>
      <c r="C13" t="s">
        <v>240</v>
      </c>
      <c r="E13" s="1">
        <v>0.57999999999999996</v>
      </c>
      <c r="F13" t="s">
        <v>156</v>
      </c>
    </row>
    <row r="14" spans="1:7" x14ac:dyDescent="0.3">
      <c r="A14" s="2"/>
      <c r="C14" s="20"/>
      <c r="D14" t="s">
        <v>468</v>
      </c>
      <c r="E14" s="1" t="s">
        <v>247</v>
      </c>
    </row>
    <row r="15" spans="1:7" x14ac:dyDescent="0.3">
      <c r="A15" s="5" t="s">
        <v>476</v>
      </c>
      <c r="B15" t="s">
        <v>258</v>
      </c>
      <c r="C15" t="s">
        <v>248</v>
      </c>
      <c r="E15" s="1" t="s">
        <v>248</v>
      </c>
      <c r="F15" t="s">
        <v>156</v>
      </c>
      <c r="G15" t="s">
        <v>156</v>
      </c>
    </row>
    <row r="16" spans="1:7" x14ac:dyDescent="0.3">
      <c r="A16" s="2" t="s">
        <v>475</v>
      </c>
      <c r="B16" t="s">
        <v>239</v>
      </c>
      <c r="C16" t="s">
        <v>240</v>
      </c>
      <c r="E16" s="1">
        <v>0.57999999999999996</v>
      </c>
      <c r="F16" t="s">
        <v>156</v>
      </c>
    </row>
    <row r="17" spans="1:7" x14ac:dyDescent="0.3">
      <c r="A17" s="2"/>
      <c r="C17" s="20"/>
      <c r="D17" t="s">
        <v>468</v>
      </c>
      <c r="E17" s="1" t="s">
        <v>247</v>
      </c>
    </row>
    <row r="18" spans="1:7" x14ac:dyDescent="0.3">
      <c r="A18" s="1" t="s">
        <v>466</v>
      </c>
      <c r="B18" t="s">
        <v>259</v>
      </c>
      <c r="C18" t="s">
        <v>249</v>
      </c>
      <c r="E18" s="1" t="s">
        <v>250</v>
      </c>
      <c r="F18" t="s">
        <v>156</v>
      </c>
    </row>
    <row r="19" spans="1:7" ht="28.8" x14ac:dyDescent="0.3">
      <c r="A19" s="33" t="s">
        <v>474</v>
      </c>
      <c r="B19" t="s">
        <v>230</v>
      </c>
      <c r="C19" t="s">
        <v>234</v>
      </c>
      <c r="E19" s="1" t="s">
        <v>251</v>
      </c>
      <c r="F19" t="s">
        <v>156</v>
      </c>
    </row>
    <row r="20" spans="1:7" x14ac:dyDescent="0.3">
      <c r="A20" s="2" t="s">
        <v>471</v>
      </c>
      <c r="B20" t="s">
        <v>230</v>
      </c>
      <c r="C20" t="s">
        <v>252</v>
      </c>
      <c r="E20" s="1" t="s">
        <v>253</v>
      </c>
      <c r="F20" t="s">
        <v>156</v>
      </c>
    </row>
    <row r="21" spans="1:7" ht="28.8" x14ac:dyDescent="0.3">
      <c r="D21" s="2" t="s">
        <v>473</v>
      </c>
      <c r="E21" s="1" t="s">
        <v>254</v>
      </c>
    </row>
    <row r="22" spans="1:7" ht="86.4" x14ac:dyDescent="0.3">
      <c r="A22" s="2" t="s">
        <v>479</v>
      </c>
      <c r="B22" t="s">
        <v>255</v>
      </c>
      <c r="C22" t="s">
        <v>256</v>
      </c>
      <c r="E22" s="1" t="s">
        <v>257</v>
      </c>
      <c r="F22" t="s">
        <v>156</v>
      </c>
      <c r="G22" t="s">
        <v>156</v>
      </c>
    </row>
    <row r="23" spans="1:7" x14ac:dyDescent="0.3">
      <c r="A23" s="11" t="s">
        <v>480</v>
      </c>
      <c r="B23" t="s">
        <v>258</v>
      </c>
      <c r="C23" t="s">
        <v>256</v>
      </c>
      <c r="E23" s="1">
        <v>94.3</v>
      </c>
      <c r="F23" t="s">
        <v>156</v>
      </c>
    </row>
    <row r="24" spans="1:7" ht="28.8" x14ac:dyDescent="0.3">
      <c r="A24" s="2" t="s">
        <v>481</v>
      </c>
      <c r="B24" t="s">
        <v>255</v>
      </c>
      <c r="C24" t="s">
        <v>234</v>
      </c>
      <c r="E24" s="1" t="s">
        <v>261</v>
      </c>
      <c r="F24" t="s">
        <v>156</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1:D12"/>
  <sheetViews>
    <sheetView workbookViewId="0">
      <selection activeCell="K25" sqref="K25"/>
    </sheetView>
  </sheetViews>
  <sheetFormatPr baseColWidth="10" defaultColWidth="8.88671875"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1" spans="1:4" x14ac:dyDescent="0.3">
      <c r="A1" t="s">
        <v>132</v>
      </c>
      <c r="B1" t="s">
        <v>136</v>
      </c>
      <c r="C1" t="s">
        <v>137</v>
      </c>
      <c r="D1" t="s">
        <v>135</v>
      </c>
    </row>
    <row r="2" spans="1:4" x14ac:dyDescent="0.3">
      <c r="A2">
        <v>2015</v>
      </c>
      <c r="C2">
        <v>1</v>
      </c>
      <c r="D2">
        <v>1</v>
      </c>
    </row>
    <row r="3" spans="1:4" x14ac:dyDescent="0.3">
      <c r="A3">
        <v>2016</v>
      </c>
      <c r="B3">
        <v>1</v>
      </c>
      <c r="D3">
        <v>1</v>
      </c>
    </row>
    <row r="4" spans="1:4" x14ac:dyDescent="0.3">
      <c r="A4">
        <v>2017</v>
      </c>
      <c r="B4">
        <v>1</v>
      </c>
      <c r="C4">
        <v>2</v>
      </c>
      <c r="D4">
        <v>3</v>
      </c>
    </row>
    <row r="5" spans="1:4" x14ac:dyDescent="0.3">
      <c r="A5">
        <v>2018</v>
      </c>
      <c r="B5">
        <v>1</v>
      </c>
      <c r="C5">
        <v>1</v>
      </c>
      <c r="D5">
        <v>2</v>
      </c>
    </row>
    <row r="6" spans="1:4" x14ac:dyDescent="0.3">
      <c r="A6">
        <v>2019</v>
      </c>
      <c r="C6">
        <v>1</v>
      </c>
      <c r="D6">
        <v>1</v>
      </c>
    </row>
    <row r="7" spans="1:4" x14ac:dyDescent="0.3">
      <c r="A7">
        <v>2021</v>
      </c>
      <c r="B7">
        <v>3</v>
      </c>
      <c r="C7">
        <v>1</v>
      </c>
      <c r="D7">
        <v>4</v>
      </c>
    </row>
    <row r="8" spans="1:4" x14ac:dyDescent="0.3">
      <c r="A8">
        <v>2022</v>
      </c>
      <c r="B8">
        <v>1</v>
      </c>
      <c r="C8">
        <v>1</v>
      </c>
      <c r="D8">
        <v>2</v>
      </c>
    </row>
    <row r="9" spans="1:4" x14ac:dyDescent="0.3">
      <c r="A9">
        <v>2023</v>
      </c>
      <c r="B9">
        <v>3</v>
      </c>
      <c r="D9">
        <v>3</v>
      </c>
    </row>
    <row r="10" spans="1:4" x14ac:dyDescent="0.3">
      <c r="A10">
        <v>2024</v>
      </c>
      <c r="B10">
        <v>4</v>
      </c>
      <c r="D10">
        <v>4</v>
      </c>
    </row>
    <row r="11" spans="1:4" x14ac:dyDescent="0.3">
      <c r="A11">
        <v>2025</v>
      </c>
      <c r="B11">
        <v>2</v>
      </c>
      <c r="C11">
        <v>1</v>
      </c>
      <c r="D11">
        <v>3</v>
      </c>
    </row>
    <row r="12" spans="1:4" x14ac:dyDescent="0.3">
      <c r="A12" t="s">
        <v>135</v>
      </c>
      <c r="B12">
        <v>16</v>
      </c>
      <c r="C12">
        <v>8</v>
      </c>
      <c r="D12">
        <v>24</v>
      </c>
    </row>
  </sheetData>
  <pageMargins left="0.70000000000000007" right="0.70000000000000007" top="0.75" bottom="0.75" header="0.30000000000000004" footer="0.30000000000000004"/>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0:D18"/>
  <sheetViews>
    <sheetView topLeftCell="A3" zoomScale="115" zoomScaleNormal="115" workbookViewId="0">
      <selection activeCell="D20" sqref="D20"/>
    </sheetView>
  </sheetViews>
  <sheetFormatPr baseColWidth="10" defaultColWidth="8.88671875"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0" spans="1:4" x14ac:dyDescent="0.3">
      <c r="B10" t="s">
        <v>136</v>
      </c>
      <c r="C10" t="s">
        <v>137</v>
      </c>
      <c r="D10" t="s">
        <v>135</v>
      </c>
    </row>
    <row r="11" spans="1:4" x14ac:dyDescent="0.3">
      <c r="A11" t="s">
        <v>144</v>
      </c>
      <c r="B11">
        <v>1</v>
      </c>
      <c r="D11">
        <v>1</v>
      </c>
    </row>
    <row r="12" spans="1:4" x14ac:dyDescent="0.3">
      <c r="A12" t="s">
        <v>139</v>
      </c>
      <c r="B12">
        <v>1</v>
      </c>
      <c r="C12">
        <v>4</v>
      </c>
      <c r="D12">
        <v>5</v>
      </c>
    </row>
    <row r="13" spans="1:4" x14ac:dyDescent="0.3">
      <c r="A13" t="s">
        <v>140</v>
      </c>
      <c r="B13">
        <v>5</v>
      </c>
      <c r="D13">
        <v>5</v>
      </c>
    </row>
    <row r="14" spans="1:4" x14ac:dyDescent="0.3">
      <c r="A14" t="s">
        <v>141</v>
      </c>
      <c r="B14">
        <v>1</v>
      </c>
      <c r="D14">
        <v>1</v>
      </c>
    </row>
    <row r="15" spans="1:4" x14ac:dyDescent="0.3">
      <c r="A15" t="s">
        <v>142</v>
      </c>
      <c r="B15">
        <v>4</v>
      </c>
      <c r="D15">
        <v>4</v>
      </c>
    </row>
    <row r="16" spans="1:4" x14ac:dyDescent="0.3">
      <c r="A16" t="s">
        <v>143</v>
      </c>
      <c r="B16">
        <v>1</v>
      </c>
      <c r="C16">
        <v>1</v>
      </c>
      <c r="D16">
        <v>2</v>
      </c>
    </row>
    <row r="17" spans="1:4" x14ac:dyDescent="0.3">
      <c r="A17" t="s">
        <v>145</v>
      </c>
      <c r="B17">
        <v>3</v>
      </c>
      <c r="C17">
        <v>3</v>
      </c>
      <c r="D17">
        <v>6</v>
      </c>
    </row>
    <row r="18" spans="1:4" x14ac:dyDescent="0.3">
      <c r="D18">
        <f>SUM(D11:D17)</f>
        <v>24</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B8"/>
  <sheetViews>
    <sheetView zoomScale="70" zoomScaleNormal="70" workbookViewId="0">
      <selection sqref="A1:B8"/>
    </sheetView>
  </sheetViews>
  <sheetFormatPr baseColWidth="10" defaultColWidth="8.88671875" defaultRowHeight="14.4" x14ac:dyDescent="0.3"/>
  <cols>
    <col min="1" max="1" width="21" bestFit="1" customWidth="1"/>
    <col min="2" max="2" width="13.33203125" bestFit="1" customWidth="1"/>
    <col min="3" max="3" width="8.88671875" customWidth="1"/>
  </cols>
  <sheetData>
    <row r="1" spans="1:2" x14ac:dyDescent="0.3">
      <c r="A1" s="12" t="s">
        <v>134</v>
      </c>
      <c r="B1" s="15" t="s">
        <v>181</v>
      </c>
    </row>
    <row r="2" spans="1:2" x14ac:dyDescent="0.3">
      <c r="A2" s="13" t="s">
        <v>57</v>
      </c>
      <c r="B2" s="15">
        <v>2</v>
      </c>
    </row>
    <row r="3" spans="1:2" x14ac:dyDescent="0.3">
      <c r="A3" s="14" t="s">
        <v>182</v>
      </c>
      <c r="B3" s="16">
        <v>1</v>
      </c>
    </row>
    <row r="4" spans="1:2" x14ac:dyDescent="0.3">
      <c r="A4" s="14" t="s">
        <v>63</v>
      </c>
      <c r="B4" s="16">
        <v>1</v>
      </c>
    </row>
    <row r="5" spans="1:2" x14ac:dyDescent="0.3">
      <c r="A5" s="14" t="s">
        <v>183</v>
      </c>
      <c r="B5" s="16">
        <v>1</v>
      </c>
    </row>
    <row r="6" spans="1:2" x14ac:dyDescent="0.3">
      <c r="A6" s="14" t="s">
        <v>108</v>
      </c>
      <c r="B6" s="16">
        <v>3</v>
      </c>
    </row>
    <row r="7" spans="1:2" x14ac:dyDescent="0.3">
      <c r="A7" s="14" t="s">
        <v>44</v>
      </c>
      <c r="B7" s="16">
        <v>3</v>
      </c>
    </row>
    <row r="8" spans="1:2" x14ac:dyDescent="0.3">
      <c r="A8" s="14" t="s">
        <v>75</v>
      </c>
      <c r="B8" s="16">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4" sqref="A4"/>
    </sheetView>
  </sheetViews>
  <sheetFormatPr baseColWidth="10" defaultColWidth="8.88671875" defaultRowHeight="14.4" x14ac:dyDescent="0.3"/>
  <cols>
    <col min="1" max="1" width="34.21875" customWidth="1"/>
    <col min="2" max="2" width="8.88671875" customWidth="1"/>
  </cols>
  <sheetData>
    <row r="1" spans="1:3" x14ac:dyDescent="0.3">
      <c r="A1" t="s">
        <v>455</v>
      </c>
      <c r="B1" t="s">
        <v>456</v>
      </c>
      <c r="C1" t="s">
        <v>457</v>
      </c>
    </row>
    <row r="2" spans="1:3" x14ac:dyDescent="0.3">
      <c r="A2" s="1" t="s">
        <v>184</v>
      </c>
      <c r="B2" s="1" t="s">
        <v>57</v>
      </c>
      <c r="C2" t="s">
        <v>185</v>
      </c>
    </row>
    <row r="3" spans="1:3" ht="28.8" x14ac:dyDescent="0.3">
      <c r="A3" s="1" t="s">
        <v>186</v>
      </c>
      <c r="B3" s="1" t="s">
        <v>75</v>
      </c>
    </row>
    <row r="4" spans="1:3" x14ac:dyDescent="0.3">
      <c r="A4" t="s">
        <v>483</v>
      </c>
      <c r="B4" s="1" t="s">
        <v>63</v>
      </c>
      <c r="C4" t="s">
        <v>187</v>
      </c>
    </row>
    <row r="5" spans="1:3" ht="28.8" x14ac:dyDescent="0.3">
      <c r="A5" s="1" t="s">
        <v>188</v>
      </c>
      <c r="B5" s="1" t="s">
        <v>75</v>
      </c>
    </row>
    <row r="6" spans="1:3" x14ac:dyDescent="0.3">
      <c r="A6" t="s">
        <v>189</v>
      </c>
      <c r="B6" s="1" t="s">
        <v>75</v>
      </c>
    </row>
    <row r="7" spans="1:3" x14ac:dyDescent="0.3">
      <c r="A7" t="s">
        <v>190</v>
      </c>
      <c r="B7" s="1" t="s">
        <v>75</v>
      </c>
      <c r="C7" t="s">
        <v>191</v>
      </c>
    </row>
    <row r="8" spans="1:3" ht="28.8" x14ac:dyDescent="0.3">
      <c r="A8" t="s">
        <v>192</v>
      </c>
      <c r="B8" s="1" t="s">
        <v>108</v>
      </c>
      <c r="C8" t="s">
        <v>193</v>
      </c>
    </row>
    <row r="9" spans="1:3" ht="28.8" x14ac:dyDescent="0.3">
      <c r="A9" s="1" t="s">
        <v>194</v>
      </c>
      <c r="B9" s="1" t="s">
        <v>44</v>
      </c>
    </row>
    <row r="10" spans="1:3" ht="28.8" x14ac:dyDescent="0.3">
      <c r="A10" t="s">
        <v>195</v>
      </c>
      <c r="B10" s="1" t="s">
        <v>182</v>
      </c>
      <c r="C10" t="s">
        <v>75</v>
      </c>
    </row>
    <row r="11" spans="1:3" ht="57.6" x14ac:dyDescent="0.3">
      <c r="A11" s="1" t="s">
        <v>196</v>
      </c>
      <c r="B11" s="1" t="s">
        <v>75</v>
      </c>
      <c r="C11" t="s">
        <v>108</v>
      </c>
    </row>
    <row r="12" spans="1:3" ht="28.8" x14ac:dyDescent="0.3">
      <c r="A12" t="s">
        <v>197</v>
      </c>
      <c r="B12" s="1" t="s">
        <v>108</v>
      </c>
      <c r="C12" t="s">
        <v>198</v>
      </c>
    </row>
    <row r="13" spans="1:3" ht="43.2" x14ac:dyDescent="0.3">
      <c r="A13" s="1" t="s">
        <v>199</v>
      </c>
      <c r="B13" s="1" t="s">
        <v>57</v>
      </c>
      <c r="C13" t="s">
        <v>200</v>
      </c>
    </row>
    <row r="14" spans="1:3" ht="28.8" x14ac:dyDescent="0.3">
      <c r="A14" s="1" t="s">
        <v>201</v>
      </c>
      <c r="B14" s="1" t="s">
        <v>44</v>
      </c>
      <c r="C14" t="s">
        <v>202</v>
      </c>
    </row>
    <row r="15" spans="1:3" ht="57.6" x14ac:dyDescent="0.3">
      <c r="A15" s="1" t="s">
        <v>203</v>
      </c>
      <c r="B15" s="1" t="s">
        <v>44</v>
      </c>
      <c r="C15" t="s">
        <v>108</v>
      </c>
    </row>
    <row r="16" spans="1:3" ht="28.8" x14ac:dyDescent="0.3">
      <c r="A16" s="1" t="s">
        <v>204</v>
      </c>
      <c r="B16" s="1" t="s">
        <v>108</v>
      </c>
      <c r="C16" t="s">
        <v>205</v>
      </c>
    </row>
    <row r="17" spans="1:3" ht="43.2" x14ac:dyDescent="0.3">
      <c r="A17" s="1" t="s">
        <v>206</v>
      </c>
      <c r="B17" s="1" t="s">
        <v>183</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4"/>
  <sheetViews>
    <sheetView topLeftCell="E20" zoomScale="115" zoomScaleNormal="115" workbookViewId="0">
      <selection activeCell="K17" sqref="K17"/>
    </sheetView>
  </sheetViews>
  <sheetFormatPr baseColWidth="10" defaultColWidth="8.88671875"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146</v>
      </c>
      <c r="B1" s="1" t="s">
        <v>147</v>
      </c>
      <c r="C1" s="1" t="s">
        <v>148</v>
      </c>
      <c r="D1" s="1" t="s">
        <v>149</v>
      </c>
      <c r="E1" s="1" t="s">
        <v>150</v>
      </c>
      <c r="F1" s="1" t="s">
        <v>151</v>
      </c>
      <c r="G1" s="1" t="s">
        <v>132</v>
      </c>
      <c r="H1" s="1" t="s">
        <v>152</v>
      </c>
      <c r="I1" s="1" t="s">
        <v>153</v>
      </c>
      <c r="J1" s="1" t="s">
        <v>133</v>
      </c>
      <c r="K1" s="1" t="s">
        <v>154</v>
      </c>
      <c r="L1" s="1" t="s">
        <v>401</v>
      </c>
      <c r="M1" s="1" t="s">
        <v>155</v>
      </c>
    </row>
    <row r="2" spans="1:13" ht="37.799999999999997" customHeight="1" x14ac:dyDescent="0.3">
      <c r="A2" s="2" t="s">
        <v>59</v>
      </c>
      <c r="B2" s="1" t="s">
        <v>156</v>
      </c>
      <c r="C2" s="1"/>
      <c r="D2" s="1"/>
      <c r="F2" s="1" t="s">
        <v>157</v>
      </c>
      <c r="G2" s="1">
        <v>2025</v>
      </c>
      <c r="H2" s="17">
        <v>45870</v>
      </c>
      <c r="I2" s="1" t="s">
        <v>156</v>
      </c>
      <c r="J2" s="1" t="s">
        <v>138</v>
      </c>
      <c r="K2" s="1" t="s">
        <v>158</v>
      </c>
      <c r="L2" s="1" t="s">
        <v>395</v>
      </c>
      <c r="M2" s="1" t="s">
        <v>136</v>
      </c>
    </row>
    <row r="3" spans="1:13" ht="37.799999999999997" customHeight="1" x14ac:dyDescent="0.3">
      <c r="A3" s="2" t="s">
        <v>65</v>
      </c>
      <c r="B3" s="1" t="s">
        <v>156</v>
      </c>
      <c r="C3" s="1"/>
      <c r="D3" s="1"/>
      <c r="F3" s="1" t="s">
        <v>159</v>
      </c>
      <c r="G3" s="1">
        <v>2023</v>
      </c>
      <c r="H3" s="17">
        <v>45108</v>
      </c>
      <c r="I3" s="1" t="s">
        <v>156</v>
      </c>
      <c r="J3" s="1" t="s">
        <v>139</v>
      </c>
      <c r="K3" s="1" t="s">
        <v>158</v>
      </c>
      <c r="L3" s="1" t="s">
        <v>395</v>
      </c>
      <c r="M3" s="1" t="s">
        <v>136</v>
      </c>
    </row>
    <row r="4" spans="1:13" ht="37.799999999999997" customHeight="1" x14ac:dyDescent="0.3">
      <c r="A4" s="2" t="s">
        <v>71</v>
      </c>
      <c r="B4" s="1" t="s">
        <v>156</v>
      </c>
      <c r="C4" s="1"/>
      <c r="D4" s="1"/>
      <c r="F4" s="1" t="s">
        <v>160</v>
      </c>
      <c r="G4" s="1">
        <v>2022</v>
      </c>
      <c r="H4" s="17">
        <v>44593</v>
      </c>
      <c r="I4" s="1" t="s">
        <v>156</v>
      </c>
      <c r="J4" s="1" t="s">
        <v>140</v>
      </c>
      <c r="K4" s="1" t="s">
        <v>158</v>
      </c>
      <c r="L4" s="1" t="s">
        <v>396</v>
      </c>
      <c r="M4" s="1" t="s">
        <v>136</v>
      </c>
    </row>
    <row r="5" spans="1:13" ht="37.799999999999997" customHeight="1" x14ac:dyDescent="0.3">
      <c r="A5" s="2" t="s">
        <v>98</v>
      </c>
      <c r="B5" s="1" t="s">
        <v>156</v>
      </c>
      <c r="C5" s="1"/>
      <c r="D5" s="1"/>
      <c r="F5" s="18" t="s">
        <v>161</v>
      </c>
      <c r="G5" s="18">
        <v>2025</v>
      </c>
      <c r="H5" s="17">
        <v>45839</v>
      </c>
      <c r="I5" s="1" t="s">
        <v>156</v>
      </c>
      <c r="J5" s="1" t="s">
        <v>140</v>
      </c>
      <c r="K5" s="1" t="s">
        <v>158</v>
      </c>
      <c r="L5" s="1" t="s">
        <v>393</v>
      </c>
      <c r="M5" s="1" t="s">
        <v>136</v>
      </c>
    </row>
    <row r="6" spans="1:13" ht="37.799999999999997" customHeight="1" x14ac:dyDescent="0.3">
      <c r="A6" s="2" t="s">
        <v>40</v>
      </c>
      <c r="B6" s="1" t="s">
        <v>156</v>
      </c>
      <c r="C6" s="1"/>
      <c r="D6" s="1"/>
      <c r="F6" s="1" t="s">
        <v>162</v>
      </c>
      <c r="G6" s="1">
        <v>2024</v>
      </c>
      <c r="H6" s="17">
        <v>45413</v>
      </c>
      <c r="I6" s="1" t="s">
        <v>156</v>
      </c>
      <c r="J6" s="1" t="s">
        <v>140</v>
      </c>
      <c r="K6" s="1" t="s">
        <v>158</v>
      </c>
      <c r="L6" s="1" t="s">
        <v>397</v>
      </c>
      <c r="M6" s="1" t="s">
        <v>136</v>
      </c>
    </row>
    <row r="7" spans="1:13" ht="37.799999999999997" customHeight="1" x14ac:dyDescent="0.3">
      <c r="A7" s="2" t="s">
        <v>92</v>
      </c>
      <c r="B7" s="1" t="s">
        <v>156</v>
      </c>
      <c r="C7" s="1"/>
      <c r="D7" s="1"/>
      <c r="F7" s="18" t="s">
        <v>163</v>
      </c>
      <c r="G7" s="18">
        <v>2021</v>
      </c>
      <c r="H7" s="17">
        <v>44197</v>
      </c>
      <c r="I7" s="1" t="s">
        <v>156</v>
      </c>
      <c r="J7" s="1" t="s">
        <v>140</v>
      </c>
      <c r="K7" s="1" t="s">
        <v>158</v>
      </c>
      <c r="L7" s="1" t="s">
        <v>395</v>
      </c>
      <c r="M7" s="1" t="s">
        <v>136</v>
      </c>
    </row>
    <row r="8" spans="1:13" ht="37.799999999999997" customHeight="1" x14ac:dyDescent="0.3">
      <c r="A8" s="2" t="s">
        <v>84</v>
      </c>
      <c r="B8" s="1"/>
      <c r="C8" s="1"/>
      <c r="D8" s="1" t="s">
        <v>156</v>
      </c>
      <c r="F8" s="1" t="s">
        <v>164</v>
      </c>
      <c r="G8" s="1">
        <v>2024</v>
      </c>
      <c r="H8" s="17">
        <v>45352</v>
      </c>
      <c r="I8" s="1"/>
      <c r="J8" s="1" t="s">
        <v>141</v>
      </c>
      <c r="K8" s="1" t="s">
        <v>158</v>
      </c>
      <c r="L8" s="1" t="s">
        <v>398</v>
      </c>
      <c r="M8" s="1" t="s">
        <v>136</v>
      </c>
    </row>
    <row r="9" spans="1:13" ht="37.799999999999997" customHeight="1" x14ac:dyDescent="0.3">
      <c r="A9" s="2" t="s">
        <v>110</v>
      </c>
      <c r="B9" s="1" t="s">
        <v>156</v>
      </c>
      <c r="C9" s="1"/>
      <c r="D9" s="1"/>
      <c r="F9" s="1" t="s">
        <v>165</v>
      </c>
      <c r="G9" s="1">
        <v>2016</v>
      </c>
      <c r="H9" s="17">
        <v>42614</v>
      </c>
      <c r="I9" s="1" t="s">
        <v>156</v>
      </c>
      <c r="J9" s="1" t="s">
        <v>142</v>
      </c>
      <c r="K9" s="1" t="s">
        <v>158</v>
      </c>
      <c r="L9" s="1" t="s">
        <v>394</v>
      </c>
      <c r="M9" s="1" t="s">
        <v>136</v>
      </c>
    </row>
    <row r="10" spans="1:13" ht="37.799999999999997" customHeight="1" x14ac:dyDescent="0.3">
      <c r="A10" s="2" t="s">
        <v>115</v>
      </c>
      <c r="B10" s="1" t="s">
        <v>156</v>
      </c>
      <c r="C10" s="1"/>
      <c r="D10" s="1"/>
      <c r="F10" s="1" t="s">
        <v>166</v>
      </c>
      <c r="G10" s="1">
        <v>2021</v>
      </c>
      <c r="H10" s="17">
        <v>44317</v>
      </c>
      <c r="I10" s="1" t="s">
        <v>156</v>
      </c>
      <c r="J10" s="1" t="s">
        <v>142</v>
      </c>
      <c r="K10" s="1" t="s">
        <v>158</v>
      </c>
      <c r="L10" s="1" t="s">
        <v>397</v>
      </c>
      <c r="M10" s="1" t="s">
        <v>136</v>
      </c>
    </row>
    <row r="11" spans="1:13" ht="37.799999999999997" customHeight="1" x14ac:dyDescent="0.3">
      <c r="A11" s="2" t="s">
        <v>47</v>
      </c>
      <c r="B11" s="1" t="s">
        <v>156</v>
      </c>
      <c r="C11" s="1"/>
      <c r="D11" s="1"/>
      <c r="F11" s="1" t="s">
        <v>167</v>
      </c>
      <c r="G11" s="1">
        <v>2023</v>
      </c>
      <c r="H11" s="17">
        <v>45139</v>
      </c>
      <c r="I11" s="1" t="s">
        <v>156</v>
      </c>
      <c r="J11" s="1" t="s">
        <v>142</v>
      </c>
      <c r="K11" s="1" t="s">
        <v>158</v>
      </c>
      <c r="L11" s="1" t="s">
        <v>397</v>
      </c>
      <c r="M11" s="1" t="s">
        <v>136</v>
      </c>
    </row>
    <row r="12" spans="1:13" ht="37.799999999999997" customHeight="1" x14ac:dyDescent="0.3">
      <c r="A12" s="11" t="s">
        <v>121</v>
      </c>
      <c r="B12" s="1" t="s">
        <v>156</v>
      </c>
      <c r="C12" s="1"/>
      <c r="D12" s="1"/>
      <c r="F12" s="1" t="s">
        <v>168</v>
      </c>
      <c r="G12" s="1">
        <v>2017</v>
      </c>
      <c r="H12" s="17">
        <v>42856</v>
      </c>
      <c r="I12" s="1" t="s">
        <v>156</v>
      </c>
      <c r="J12" s="1" t="s">
        <v>142</v>
      </c>
      <c r="K12" s="1" t="s">
        <v>158</v>
      </c>
      <c r="L12" s="1" t="s">
        <v>399</v>
      </c>
      <c r="M12" s="1" t="s">
        <v>136</v>
      </c>
    </row>
    <row r="13" spans="1:13" ht="37.799999999999997" customHeight="1" x14ac:dyDescent="0.3">
      <c r="A13" s="31" t="s">
        <v>126</v>
      </c>
      <c r="B13" s="1"/>
      <c r="C13" s="1" t="s">
        <v>156</v>
      </c>
      <c r="D13" s="1"/>
      <c r="F13" s="1" t="s">
        <v>169</v>
      </c>
      <c r="G13" s="1">
        <v>2024</v>
      </c>
      <c r="H13" s="17">
        <v>45383</v>
      </c>
      <c r="I13" s="1" t="s">
        <v>156</v>
      </c>
      <c r="J13" s="1" t="s">
        <v>404</v>
      </c>
      <c r="K13" s="1" t="s">
        <v>158</v>
      </c>
      <c r="L13" s="1" t="s">
        <v>395</v>
      </c>
      <c r="M13" s="1" t="s">
        <v>136</v>
      </c>
    </row>
    <row r="14" spans="1:13" ht="37.799999999999997" customHeight="1" x14ac:dyDescent="0.3">
      <c r="A14" s="2" t="s">
        <v>53</v>
      </c>
      <c r="B14" s="1" t="s">
        <v>156</v>
      </c>
      <c r="C14" s="1"/>
      <c r="D14" s="1"/>
      <c r="F14" s="1" t="s">
        <v>170</v>
      </c>
      <c r="G14" s="1">
        <v>2023</v>
      </c>
      <c r="H14" s="17">
        <v>45108</v>
      </c>
      <c r="I14" s="1" t="s">
        <v>156</v>
      </c>
      <c r="J14" s="1" t="s">
        <v>403</v>
      </c>
      <c r="K14" s="1" t="s">
        <v>158</v>
      </c>
      <c r="L14" s="1" t="s">
        <v>400</v>
      </c>
      <c r="M14" s="1" t="s">
        <v>136</v>
      </c>
    </row>
    <row r="15" spans="1:13" ht="37.799999999999997" customHeight="1" x14ac:dyDescent="0.3">
      <c r="A15" s="2" t="s">
        <v>104</v>
      </c>
      <c r="B15" s="1" t="s">
        <v>156</v>
      </c>
      <c r="C15" s="1"/>
      <c r="D15" s="1"/>
      <c r="F15" s="1" t="s">
        <v>171</v>
      </c>
      <c r="G15" s="1">
        <v>2018</v>
      </c>
      <c r="H15" s="17">
        <v>43313</v>
      </c>
      <c r="I15" s="1" t="s">
        <v>156</v>
      </c>
      <c r="J15" s="1" t="s">
        <v>402</v>
      </c>
      <c r="K15" s="1" t="s">
        <v>158</v>
      </c>
      <c r="L15" s="1" t="s">
        <v>394</v>
      </c>
      <c r="M15" s="1" t="s">
        <v>136</v>
      </c>
    </row>
    <row r="16" spans="1:13" ht="37.799999999999997" customHeight="1" x14ac:dyDescent="0.3">
      <c r="A16" s="2" t="s">
        <v>78</v>
      </c>
      <c r="B16" s="1"/>
      <c r="C16" s="1" t="s">
        <v>156</v>
      </c>
      <c r="D16" s="1"/>
      <c r="F16" s="1" t="s">
        <v>172</v>
      </c>
      <c r="G16" s="1">
        <v>2024</v>
      </c>
      <c r="H16" s="17">
        <v>45413</v>
      </c>
      <c r="I16" s="1" t="s">
        <v>156</v>
      </c>
      <c r="J16" s="1" t="s">
        <v>143</v>
      </c>
      <c r="K16" s="1" t="s">
        <v>158</v>
      </c>
      <c r="L16" s="1" t="s">
        <v>392</v>
      </c>
      <c r="M16" s="1" t="s">
        <v>136</v>
      </c>
    </row>
    <row r="17" spans="1:13" ht="100.8" x14ac:dyDescent="0.3">
      <c r="A17" s="3" t="s">
        <v>177</v>
      </c>
      <c r="B17" t="s">
        <v>156</v>
      </c>
      <c r="F17" s="1" t="s">
        <v>178</v>
      </c>
      <c r="G17" s="1">
        <v>2021</v>
      </c>
      <c r="H17" s="19">
        <v>44378</v>
      </c>
      <c r="I17" s="1" t="s">
        <v>156</v>
      </c>
      <c r="J17" s="1" t="s">
        <v>140</v>
      </c>
      <c r="K17" s="1" t="s">
        <v>179</v>
      </c>
      <c r="L17" s="1" t="s">
        <v>395</v>
      </c>
      <c r="M17" s="1" t="s">
        <v>136</v>
      </c>
    </row>
    <row r="18" spans="1:13" ht="72" x14ac:dyDescent="0.3">
      <c r="A18" s="2" t="s">
        <v>3</v>
      </c>
      <c r="B18" s="1" t="s">
        <v>156</v>
      </c>
      <c r="F18" s="1" t="s">
        <v>173</v>
      </c>
      <c r="G18" s="1">
        <v>2017</v>
      </c>
      <c r="H18" s="19">
        <v>42826</v>
      </c>
      <c r="I18" s="1" t="s">
        <v>156</v>
      </c>
      <c r="J18" s="1" t="s">
        <v>139</v>
      </c>
      <c r="K18" s="1" t="s">
        <v>174</v>
      </c>
      <c r="L18" s="1" t="s">
        <v>392</v>
      </c>
      <c r="M18" s="1" t="s">
        <v>137</v>
      </c>
    </row>
    <row r="19" spans="1:13" ht="57.6" x14ac:dyDescent="0.3">
      <c r="A19" s="3" t="s">
        <v>21</v>
      </c>
      <c r="C19" t="s">
        <v>156</v>
      </c>
      <c r="F19" s="1" t="s">
        <v>172</v>
      </c>
      <c r="G19" s="1">
        <v>2019</v>
      </c>
      <c r="H19" s="19">
        <v>43617</v>
      </c>
      <c r="I19" s="1" t="s">
        <v>156</v>
      </c>
      <c r="J19" s="1" t="s">
        <v>143</v>
      </c>
      <c r="K19" s="1" t="s">
        <v>174</v>
      </c>
      <c r="L19" s="1" t="s">
        <v>392</v>
      </c>
      <c r="M19" s="1" t="s">
        <v>136</v>
      </c>
    </row>
    <row r="20" spans="1:13" ht="57.6" x14ac:dyDescent="0.3">
      <c r="A20" s="2" t="s">
        <v>7</v>
      </c>
      <c r="B20" t="s">
        <v>156</v>
      </c>
      <c r="F20" s="1" t="s">
        <v>175</v>
      </c>
      <c r="G20" s="1">
        <v>2017</v>
      </c>
      <c r="H20" s="17">
        <v>42979</v>
      </c>
      <c r="I20" s="1" t="s">
        <v>156</v>
      </c>
      <c r="J20" s="1" t="s">
        <v>139</v>
      </c>
      <c r="K20" s="1" t="s">
        <v>174</v>
      </c>
      <c r="L20" s="1" t="s">
        <v>391</v>
      </c>
      <c r="M20" s="1" t="s">
        <v>137</v>
      </c>
    </row>
    <row r="21" spans="1:13" ht="57.6" x14ac:dyDescent="0.3">
      <c r="A21" s="2" t="s">
        <v>507</v>
      </c>
      <c r="B21" t="s">
        <v>156</v>
      </c>
      <c r="F21" s="1" t="s">
        <v>508</v>
      </c>
      <c r="G21" s="1">
        <v>2021</v>
      </c>
      <c r="H21" s="19"/>
      <c r="I21" s="1" t="s">
        <v>156</v>
      </c>
      <c r="J21" s="1" t="s">
        <v>139</v>
      </c>
      <c r="K21" s="1" t="s">
        <v>174</v>
      </c>
      <c r="L21" s="1" t="s">
        <v>393</v>
      </c>
      <c r="M21" s="1" t="s">
        <v>137</v>
      </c>
    </row>
    <row r="22" spans="1:13" ht="115.2" x14ac:dyDescent="0.3">
      <c r="A22" s="2" t="s">
        <v>11</v>
      </c>
      <c r="B22" t="s">
        <v>156</v>
      </c>
      <c r="F22" s="1" t="s">
        <v>176</v>
      </c>
      <c r="G22" s="1">
        <v>2022</v>
      </c>
      <c r="H22" s="19">
        <v>44743</v>
      </c>
      <c r="I22" s="1" t="s">
        <v>156</v>
      </c>
      <c r="J22" s="1" t="s">
        <v>139</v>
      </c>
      <c r="K22" s="1" t="s">
        <v>174</v>
      </c>
      <c r="L22" s="1" t="s">
        <v>392</v>
      </c>
      <c r="M22" s="1" t="s">
        <v>137</v>
      </c>
    </row>
    <row r="23" spans="1:13" ht="43.2" x14ac:dyDescent="0.3">
      <c r="A23" t="s">
        <v>293</v>
      </c>
      <c r="E23" t="s">
        <v>156</v>
      </c>
      <c r="G23" s="1">
        <v>2015</v>
      </c>
      <c r="H23" s="19">
        <v>43101</v>
      </c>
      <c r="K23" s="1" t="s">
        <v>174</v>
      </c>
      <c r="L23" s="1" t="s">
        <v>394</v>
      </c>
      <c r="M23" s="1" t="s">
        <v>137</v>
      </c>
    </row>
    <row r="24" spans="1:13" ht="28.8" x14ac:dyDescent="0.3">
      <c r="A24" s="2" t="s">
        <v>9</v>
      </c>
      <c r="E24" t="s">
        <v>156</v>
      </c>
      <c r="F24"/>
      <c r="G24" s="1">
        <v>2025</v>
      </c>
      <c r="H24">
        <v>2007</v>
      </c>
      <c r="K24" s="1" t="s">
        <v>180</v>
      </c>
      <c r="L24" s="1" t="s">
        <v>395</v>
      </c>
      <c r="M24" s="1" t="s">
        <v>137</v>
      </c>
    </row>
    <row r="25" spans="1:13" x14ac:dyDescent="0.3">
      <c r="A25" s="3" t="s">
        <v>19</v>
      </c>
      <c r="E25" t="s">
        <v>156</v>
      </c>
      <c r="G25" s="1">
        <v>2018</v>
      </c>
      <c r="H25" s="19">
        <v>43101</v>
      </c>
      <c r="K25" s="1" t="s">
        <v>180</v>
      </c>
      <c r="L25" t="s">
        <v>393</v>
      </c>
      <c r="M25" s="1" t="s">
        <v>137</v>
      </c>
    </row>
    <row r="26" spans="1:13" x14ac:dyDescent="0.3">
      <c r="A26" s="3"/>
      <c r="H26" s="19"/>
      <c r="K26" s="1"/>
      <c r="M26" s="1"/>
    </row>
    <row r="28" spans="1:13" ht="70.8" customHeight="1" x14ac:dyDescent="0.3">
      <c r="A28" s="2"/>
      <c r="B28" s="2"/>
      <c r="C28" s="1"/>
      <c r="D28" s="1"/>
      <c r="E28" s="21"/>
      <c r="H28" s="1"/>
      <c r="I28" s="1"/>
      <c r="K28" s="1"/>
    </row>
    <row r="29" spans="1:13" ht="70.8" customHeight="1" x14ac:dyDescent="0.3">
      <c r="A29" s="2"/>
      <c r="B29" s="2"/>
      <c r="C29" s="1"/>
      <c r="D29" s="1"/>
      <c r="E29" s="1"/>
      <c r="H29" s="1"/>
      <c r="I29" s="1"/>
    </row>
    <row r="30" spans="1:13" ht="70.8" customHeight="1" x14ac:dyDescent="0.3">
      <c r="A30" s="3"/>
      <c r="B30" s="3"/>
      <c r="C30" s="1"/>
      <c r="D30" s="1"/>
      <c r="E30" s="1"/>
      <c r="H30" s="1"/>
      <c r="I30" s="1"/>
    </row>
    <row r="31" spans="1:13" ht="70.8" customHeight="1" x14ac:dyDescent="0.3">
      <c r="B31" s="2"/>
      <c r="C31" s="1"/>
      <c r="D31" s="1"/>
      <c r="E31" s="21"/>
      <c r="H31" s="1"/>
      <c r="I31" s="1"/>
      <c r="K31" s="1"/>
    </row>
    <row r="32" spans="1:13" ht="70.8" customHeight="1" x14ac:dyDescent="0.3">
      <c r="B32" s="1"/>
      <c r="C32" s="1"/>
      <c r="D32" s="1"/>
      <c r="E32" s="1"/>
      <c r="G32"/>
      <c r="H32" s="1"/>
      <c r="I32" s="1"/>
    </row>
    <row r="33" spans="1:9" ht="70.8" customHeight="1" x14ac:dyDescent="0.3">
      <c r="A33" s="2"/>
      <c r="B33" s="2"/>
      <c r="C33" s="1"/>
      <c r="D33" s="1"/>
      <c r="G33"/>
      <c r="H33" s="1"/>
    </row>
    <row r="34" spans="1:9" ht="70.8" customHeight="1" x14ac:dyDescent="0.3">
      <c r="A34" s="3"/>
      <c r="B34" s="3"/>
      <c r="C34" s="1"/>
      <c r="D34" s="1"/>
      <c r="E34" s="1"/>
      <c r="H34" s="1"/>
      <c r="I34" s="1"/>
    </row>
  </sheetData>
  <sortState xmlns:xlrd2="http://schemas.microsoft.com/office/spreadsheetml/2017/richdata2" ref="A3:L27">
    <sortCondition ref="K3:K27"/>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A1:Q39"/>
  <sheetViews>
    <sheetView workbookViewId="0">
      <selection sqref="A1:J17"/>
    </sheetView>
  </sheetViews>
  <sheetFormatPr baseColWidth="10" defaultColWidth="8.88671875" defaultRowHeight="14.4" x14ac:dyDescent="0.3"/>
  <cols>
    <col min="5" max="5" width="29.77734375" customWidth="1"/>
  </cols>
  <sheetData>
    <row r="1" spans="1:17" ht="43.2" x14ac:dyDescent="0.3">
      <c r="A1" s="27" t="s">
        <v>29</v>
      </c>
      <c r="B1" s="27" t="s">
        <v>32</v>
      </c>
      <c r="C1" s="27" t="s">
        <v>266</v>
      </c>
      <c r="D1" s="28" t="s">
        <v>38</v>
      </c>
      <c r="E1" s="38"/>
      <c r="F1" s="27" t="s">
        <v>495</v>
      </c>
      <c r="G1" s="27" t="s">
        <v>273</v>
      </c>
      <c r="H1" s="28" t="s">
        <v>278</v>
      </c>
      <c r="I1" s="30"/>
      <c r="J1" s="29"/>
      <c r="O1" s="29"/>
      <c r="P1" s="29"/>
      <c r="Q1" s="29"/>
    </row>
    <row r="2" spans="1:17" ht="230.4" x14ac:dyDescent="0.3">
      <c r="A2" s="34" t="s">
        <v>484</v>
      </c>
      <c r="B2" s="34" t="s">
        <v>48</v>
      </c>
      <c r="C2" s="34" t="s">
        <v>230</v>
      </c>
      <c r="D2" s="34" t="s">
        <v>46</v>
      </c>
      <c r="E2" s="35"/>
      <c r="F2" s="34" t="s">
        <v>497</v>
      </c>
      <c r="G2" s="36" t="s">
        <v>496</v>
      </c>
      <c r="H2" s="36" t="s">
        <v>462</v>
      </c>
      <c r="I2" s="30"/>
      <c r="J2" s="29"/>
      <c r="O2" s="29"/>
      <c r="P2" s="29"/>
      <c r="Q2" s="29"/>
    </row>
    <row r="3" spans="1:17" ht="115.2" x14ac:dyDescent="0.3">
      <c r="A3" s="34" t="s">
        <v>485</v>
      </c>
      <c r="B3" s="34" t="s">
        <v>225</v>
      </c>
      <c r="C3" s="34" t="s">
        <v>239</v>
      </c>
      <c r="D3" s="34" t="s">
        <v>46</v>
      </c>
      <c r="E3" s="35"/>
      <c r="F3" s="36" t="s">
        <v>498</v>
      </c>
      <c r="G3" s="36" t="s">
        <v>499</v>
      </c>
      <c r="H3" s="36" t="s">
        <v>277</v>
      </c>
      <c r="I3" s="30"/>
      <c r="J3" s="29"/>
      <c r="O3" s="29"/>
      <c r="P3" s="29"/>
      <c r="Q3" s="29"/>
    </row>
    <row r="4" spans="1:17" ht="259.2" x14ac:dyDescent="0.3">
      <c r="A4" s="34" t="s">
        <v>203</v>
      </c>
      <c r="B4" s="34" t="s">
        <v>116</v>
      </c>
      <c r="C4" s="34" t="s">
        <v>239</v>
      </c>
      <c r="D4" s="34" t="s">
        <v>46</v>
      </c>
      <c r="E4" s="35"/>
      <c r="F4" s="36" t="s">
        <v>500</v>
      </c>
      <c r="G4" s="36" t="s">
        <v>501</v>
      </c>
      <c r="H4" s="36" t="s">
        <v>288</v>
      </c>
      <c r="I4" s="30"/>
      <c r="J4" s="29"/>
      <c r="O4" s="29"/>
      <c r="P4" s="29"/>
      <c r="Q4" s="29"/>
    </row>
    <row r="5" spans="1:17" ht="158.4" x14ac:dyDescent="0.3">
      <c r="A5" s="34" t="s">
        <v>204</v>
      </c>
      <c r="B5" s="34" t="s">
        <v>85</v>
      </c>
      <c r="C5" s="34" t="s">
        <v>239</v>
      </c>
      <c r="D5" s="34" t="s">
        <v>46</v>
      </c>
      <c r="E5" s="35"/>
      <c r="F5" s="36" t="s">
        <v>502</v>
      </c>
      <c r="G5" s="36"/>
      <c r="H5" s="36" t="s">
        <v>248</v>
      </c>
      <c r="I5" s="30"/>
      <c r="J5" s="29"/>
      <c r="O5" s="29"/>
      <c r="P5" s="29"/>
      <c r="Q5" s="29"/>
    </row>
    <row r="6" spans="1:17" ht="201.6" x14ac:dyDescent="0.3">
      <c r="A6" s="34" t="s">
        <v>201</v>
      </c>
      <c r="B6" s="34" t="s">
        <v>225</v>
      </c>
      <c r="C6" s="34" t="s">
        <v>239</v>
      </c>
      <c r="D6" s="34" t="s">
        <v>46</v>
      </c>
      <c r="E6" s="35"/>
      <c r="F6" s="36" t="s">
        <v>504</v>
      </c>
      <c r="G6" s="36" t="s">
        <v>503</v>
      </c>
      <c r="H6" s="36" t="s">
        <v>288</v>
      </c>
      <c r="I6" s="30"/>
      <c r="J6" s="29"/>
      <c r="O6" s="29"/>
      <c r="P6" s="29"/>
      <c r="Q6" s="29"/>
    </row>
    <row r="7" spans="1:17" ht="129.6" x14ac:dyDescent="0.3">
      <c r="A7" s="34" t="s">
        <v>194</v>
      </c>
      <c r="B7" s="34" t="s">
        <v>208</v>
      </c>
      <c r="C7" s="34" t="s">
        <v>459</v>
      </c>
      <c r="D7" s="34" t="s">
        <v>46</v>
      </c>
      <c r="E7" s="35"/>
      <c r="F7" s="36" t="s">
        <v>505</v>
      </c>
      <c r="G7" s="36" t="s">
        <v>504</v>
      </c>
      <c r="H7" s="36" t="s">
        <v>289</v>
      </c>
      <c r="I7" s="30"/>
      <c r="J7" s="29"/>
      <c r="O7" s="29"/>
      <c r="P7" s="29"/>
      <c r="Q7" s="29"/>
    </row>
    <row r="8" spans="1:17" ht="158.4" x14ac:dyDescent="0.3">
      <c r="A8" s="34" t="s">
        <v>486</v>
      </c>
      <c r="B8" s="34" t="s">
        <v>85</v>
      </c>
      <c r="C8" s="34" t="s">
        <v>239</v>
      </c>
      <c r="D8" s="34" t="s">
        <v>77</v>
      </c>
      <c r="E8" s="35"/>
      <c r="F8" s="36" t="s">
        <v>275</v>
      </c>
      <c r="G8" s="36" t="s">
        <v>274</v>
      </c>
      <c r="H8" s="36" t="s">
        <v>290</v>
      </c>
      <c r="I8" s="30"/>
      <c r="J8" s="29"/>
      <c r="O8" s="29"/>
      <c r="P8" s="29"/>
      <c r="Q8" s="29"/>
    </row>
    <row r="9" spans="1:17" ht="158.4" x14ac:dyDescent="0.3">
      <c r="A9" s="34" t="s">
        <v>186</v>
      </c>
      <c r="B9" s="34" t="s">
        <v>99</v>
      </c>
      <c r="C9" s="34" t="s">
        <v>276</v>
      </c>
      <c r="D9" s="34" t="s">
        <v>77</v>
      </c>
      <c r="E9" s="35"/>
      <c r="F9" s="36" t="s">
        <v>280</v>
      </c>
      <c r="G9" s="36" t="s">
        <v>283</v>
      </c>
      <c r="H9" s="36" t="s">
        <v>291</v>
      </c>
      <c r="I9" s="30"/>
      <c r="J9" s="29"/>
      <c r="O9" s="29"/>
      <c r="P9" s="29"/>
      <c r="Q9" s="29"/>
    </row>
    <row r="10" spans="1:17" ht="43.2" x14ac:dyDescent="0.3">
      <c r="A10" s="37" t="s">
        <v>487</v>
      </c>
      <c r="B10" s="37" t="s">
        <v>219</v>
      </c>
      <c r="C10" s="37" t="s">
        <v>263</v>
      </c>
      <c r="D10" s="37" t="s">
        <v>46</v>
      </c>
      <c r="E10" s="35"/>
      <c r="F10" s="35"/>
      <c r="G10" s="35"/>
      <c r="H10" s="36" t="s">
        <v>506</v>
      </c>
      <c r="I10" s="30"/>
      <c r="J10" s="29"/>
      <c r="O10" s="29"/>
      <c r="P10" s="29"/>
      <c r="Q10" s="29"/>
    </row>
    <row r="11" spans="1:17" ht="288" x14ac:dyDescent="0.3">
      <c r="A11" s="34" t="s">
        <v>196</v>
      </c>
      <c r="B11" s="34" t="s">
        <v>217</v>
      </c>
      <c r="C11" s="34" t="s">
        <v>276</v>
      </c>
      <c r="D11" s="34" t="s">
        <v>77</v>
      </c>
      <c r="E11" s="35"/>
      <c r="F11" s="36" t="s">
        <v>281</v>
      </c>
      <c r="G11" s="36" t="s">
        <v>282</v>
      </c>
      <c r="H11" s="36" t="s">
        <v>291</v>
      </c>
      <c r="I11" s="30"/>
      <c r="J11" s="29"/>
      <c r="O11" s="29"/>
      <c r="P11" s="29"/>
      <c r="Q11" s="29"/>
    </row>
    <row r="12" spans="1:17" ht="230.4" x14ac:dyDescent="0.3">
      <c r="A12" s="34" t="s">
        <v>488</v>
      </c>
      <c r="B12" s="34" t="s">
        <v>223</v>
      </c>
      <c r="C12" s="34" t="s">
        <v>264</v>
      </c>
      <c r="D12" s="34" t="s">
        <v>46</v>
      </c>
      <c r="E12" s="35"/>
      <c r="F12" s="34" t="s">
        <v>284</v>
      </c>
      <c r="G12" s="36" t="s">
        <v>494</v>
      </c>
      <c r="H12" s="36"/>
      <c r="I12" s="30"/>
      <c r="J12" s="29"/>
      <c r="O12" s="29"/>
      <c r="P12" s="29"/>
      <c r="Q12" s="29"/>
    </row>
    <row r="13" spans="1:17" ht="216" x14ac:dyDescent="0.3">
      <c r="A13" s="34" t="s">
        <v>199</v>
      </c>
      <c r="B13" s="34" t="s">
        <v>219</v>
      </c>
      <c r="C13" s="34" t="s">
        <v>230</v>
      </c>
      <c r="D13" s="34" t="s">
        <v>77</v>
      </c>
      <c r="E13" s="35"/>
      <c r="F13" s="36" t="s">
        <v>491</v>
      </c>
      <c r="G13" s="36" t="s">
        <v>492</v>
      </c>
      <c r="H13" s="36" t="s">
        <v>491</v>
      </c>
      <c r="I13" s="30"/>
      <c r="J13" s="29"/>
      <c r="O13" s="29"/>
      <c r="P13" s="29"/>
      <c r="Q13" s="29"/>
    </row>
    <row r="14" spans="1:17" ht="216" x14ac:dyDescent="0.3">
      <c r="A14" s="34" t="s">
        <v>489</v>
      </c>
      <c r="B14" s="34" t="s">
        <v>267</v>
      </c>
      <c r="C14" s="34" t="s">
        <v>265</v>
      </c>
      <c r="D14" s="34" t="s">
        <v>46</v>
      </c>
      <c r="E14" s="35"/>
      <c r="F14" s="36" t="s">
        <v>279</v>
      </c>
      <c r="G14" s="36" t="s">
        <v>336</v>
      </c>
      <c r="H14" s="36" t="s">
        <v>279</v>
      </c>
      <c r="I14" s="30"/>
      <c r="J14" s="29"/>
      <c r="O14" s="29"/>
      <c r="P14" s="29"/>
      <c r="Q14" s="29"/>
    </row>
    <row r="15" spans="1:17" ht="172.8" x14ac:dyDescent="0.3">
      <c r="A15" s="34" t="s">
        <v>490</v>
      </c>
      <c r="B15" s="34" t="s">
        <v>211</v>
      </c>
      <c r="C15" s="34" t="s">
        <v>255</v>
      </c>
      <c r="D15" s="34" t="s">
        <v>46</v>
      </c>
      <c r="E15" s="35"/>
      <c r="F15" s="34" t="s">
        <v>285</v>
      </c>
      <c r="G15" s="36"/>
      <c r="H15" s="36" t="s">
        <v>292</v>
      </c>
      <c r="I15" s="30"/>
      <c r="J15" s="29"/>
      <c r="O15" s="29"/>
      <c r="P15" s="29"/>
      <c r="Q15" s="29"/>
    </row>
    <row r="16" spans="1:17" ht="273.60000000000002" x14ac:dyDescent="0.3">
      <c r="A16" s="34" t="s">
        <v>121</v>
      </c>
      <c r="B16" s="37" t="s">
        <v>219</v>
      </c>
      <c r="C16" s="37" t="s">
        <v>258</v>
      </c>
      <c r="D16" s="34" t="s">
        <v>272</v>
      </c>
      <c r="E16" s="35"/>
      <c r="F16" s="36" t="s">
        <v>286</v>
      </c>
      <c r="G16" s="36" t="s">
        <v>287</v>
      </c>
      <c r="H16" s="36"/>
      <c r="I16" s="30"/>
      <c r="J16" s="29"/>
      <c r="O16" s="29"/>
      <c r="P16" s="29"/>
      <c r="Q16" s="29"/>
    </row>
    <row r="17" spans="1:17" ht="216" x14ac:dyDescent="0.3">
      <c r="A17" s="34" t="s">
        <v>206</v>
      </c>
      <c r="B17" s="34" t="s">
        <v>219</v>
      </c>
      <c r="C17" s="34" t="s">
        <v>255</v>
      </c>
      <c r="D17" s="34" t="s">
        <v>91</v>
      </c>
      <c r="E17" s="35"/>
      <c r="F17" s="36" t="s">
        <v>493</v>
      </c>
      <c r="G17" s="36" t="s">
        <v>493</v>
      </c>
      <c r="H17" s="36" t="s">
        <v>493</v>
      </c>
      <c r="I17" s="30"/>
      <c r="J17" s="29"/>
      <c r="O17" s="29"/>
      <c r="P17" s="29"/>
      <c r="Q17" s="29"/>
    </row>
    <row r="18" spans="1:17" x14ac:dyDescent="0.3">
      <c r="E18" s="2"/>
      <c r="F18" s="2"/>
      <c r="G18" s="2"/>
      <c r="H18" s="1"/>
    </row>
    <row r="19" spans="1:17" x14ac:dyDescent="0.3">
      <c r="E19" s="1"/>
    </row>
    <row r="20" spans="1:17" x14ac:dyDescent="0.3">
      <c r="E20" s="5"/>
      <c r="F20" s="5"/>
      <c r="G20" s="5"/>
      <c r="H20" s="5"/>
    </row>
    <row r="21" spans="1:17" x14ac:dyDescent="0.3">
      <c r="E21" s="5"/>
      <c r="F21" s="5"/>
      <c r="G21" s="5"/>
      <c r="H21" s="5"/>
    </row>
    <row r="22" spans="1:17" x14ac:dyDescent="0.3">
      <c r="E22" s="5"/>
      <c r="F22" s="5"/>
      <c r="G22" s="5"/>
      <c r="H22" s="5"/>
    </row>
    <row r="23" spans="1:17" x14ac:dyDescent="0.3">
      <c r="E23" s="5"/>
      <c r="F23" s="5"/>
      <c r="G23" s="5"/>
      <c r="H23" s="5"/>
    </row>
    <row r="24" spans="1:17" x14ac:dyDescent="0.3">
      <c r="E24" s="5"/>
      <c r="F24" s="5"/>
      <c r="G24" s="5"/>
      <c r="H24" s="5"/>
    </row>
    <row r="25" spans="1:17" x14ac:dyDescent="0.3">
      <c r="E25" s="5"/>
      <c r="F25" s="5"/>
      <c r="G25" s="5"/>
      <c r="H25" s="5"/>
    </row>
    <row r="26" spans="1:17" x14ac:dyDescent="0.3">
      <c r="E26" s="5"/>
      <c r="F26" s="5"/>
      <c r="G26" s="5"/>
      <c r="H26" s="5"/>
    </row>
    <row r="27" spans="1:17" x14ac:dyDescent="0.3">
      <c r="E27" s="5"/>
      <c r="F27" s="5"/>
      <c r="G27" s="5"/>
      <c r="H27" s="5"/>
    </row>
    <row r="28" spans="1:17" x14ac:dyDescent="0.3">
      <c r="E28" s="5"/>
      <c r="F28" s="5"/>
      <c r="G28" s="5"/>
      <c r="H28" s="5"/>
    </row>
    <row r="29" spans="1:17" x14ac:dyDescent="0.3">
      <c r="E29" s="5"/>
      <c r="F29" s="5"/>
      <c r="G29" s="5"/>
      <c r="H29" s="5"/>
    </row>
    <row r="30" spans="1:17" x14ac:dyDescent="0.3">
      <c r="E30" s="5"/>
      <c r="F30" s="5"/>
      <c r="G30" s="5"/>
      <c r="H30" s="5"/>
    </row>
    <row r="31" spans="1:17" x14ac:dyDescent="0.3">
      <c r="E31" s="5"/>
      <c r="F31" s="5"/>
      <c r="G31" s="5"/>
      <c r="H31" s="5"/>
    </row>
    <row r="32" spans="1:17" x14ac:dyDescent="0.3">
      <c r="E32" s="5"/>
      <c r="F32" s="5"/>
      <c r="G32" s="5"/>
      <c r="H32" s="5"/>
    </row>
    <row r="33" spans="5:8" x14ac:dyDescent="0.3">
      <c r="E33" s="5"/>
      <c r="F33" s="5"/>
      <c r="G33" s="5"/>
      <c r="H33" s="5"/>
    </row>
    <row r="34" spans="5:8" x14ac:dyDescent="0.3">
      <c r="E34" s="5"/>
      <c r="F34" s="5"/>
      <c r="G34" s="5"/>
      <c r="H34" s="5"/>
    </row>
    <row r="35" spans="5:8" x14ac:dyDescent="0.3">
      <c r="E35" s="5"/>
      <c r="F35" s="5"/>
      <c r="G35" s="5"/>
      <c r="H35" s="5"/>
    </row>
    <row r="36" spans="5:8" x14ac:dyDescent="0.3">
      <c r="E36" s="5"/>
      <c r="F36" s="5"/>
      <c r="G36" s="5"/>
      <c r="H36" s="5"/>
    </row>
    <row r="37" spans="5:8" x14ac:dyDescent="0.3">
      <c r="E37" s="5"/>
      <c r="F37" s="5"/>
      <c r="G37" s="5"/>
      <c r="H37" s="5"/>
    </row>
    <row r="38" spans="5:8" x14ac:dyDescent="0.3">
      <c r="E38" s="5"/>
      <c r="F38" s="5"/>
      <c r="G38" s="5"/>
      <c r="H38" s="5"/>
    </row>
    <row r="39" spans="5:8" x14ac:dyDescent="0.3">
      <c r="E39" s="5"/>
      <c r="F39" s="5"/>
      <c r="G39" s="5"/>
      <c r="H39"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0"/>
  <sheetViews>
    <sheetView tabSelected="1" workbookViewId="0"/>
  </sheetViews>
  <sheetFormatPr baseColWidth="10" defaultColWidth="8.88671875" defaultRowHeight="14.4" x14ac:dyDescent="0.3"/>
  <cols>
    <col min="1" max="9" width="16.33203125" customWidth="1"/>
    <col min="10" max="10" width="37.44140625" customWidth="1"/>
  </cols>
  <sheetData>
    <row r="1" spans="1:12" ht="70.8" customHeight="1" x14ac:dyDescent="0.3">
      <c r="A1" t="s">
        <v>146</v>
      </c>
      <c r="B1" s="1" t="s">
        <v>299</v>
      </c>
      <c r="C1" s="1" t="s">
        <v>337</v>
      </c>
      <c r="D1" s="1" t="s">
        <v>298</v>
      </c>
      <c r="E1" s="1" t="s">
        <v>294</v>
      </c>
      <c r="F1" s="1" t="s">
        <v>295</v>
      </c>
      <c r="G1" s="1" t="s">
        <v>309</v>
      </c>
      <c r="H1" t="s">
        <v>338</v>
      </c>
      <c r="I1" s="1" t="s">
        <v>320</v>
      </c>
      <c r="J1" s="1" t="s">
        <v>38</v>
      </c>
    </row>
    <row r="2" spans="1:12" ht="70.8" customHeight="1" x14ac:dyDescent="0.3">
      <c r="A2" s="2" t="s">
        <v>11</v>
      </c>
      <c r="B2" s="2" t="s">
        <v>300</v>
      </c>
      <c r="C2" s="1">
        <v>2022</v>
      </c>
      <c r="D2" s="1" t="s">
        <v>302</v>
      </c>
      <c r="E2" s="21" t="s">
        <v>307</v>
      </c>
      <c r="F2" s="1" t="s">
        <v>305</v>
      </c>
      <c r="G2" s="1" t="s">
        <v>156</v>
      </c>
      <c r="H2" s="1" t="s">
        <v>339</v>
      </c>
      <c r="I2" s="1" t="s">
        <v>304</v>
      </c>
      <c r="J2" s="1" t="s">
        <v>301</v>
      </c>
      <c r="K2" s="1" t="s">
        <v>340</v>
      </c>
    </row>
    <row r="3" spans="1:12" ht="70.8" customHeight="1" x14ac:dyDescent="0.3">
      <c r="A3" s="2" t="s">
        <v>3</v>
      </c>
      <c r="B3" s="2" t="s">
        <v>303</v>
      </c>
      <c r="C3" s="1">
        <v>2017</v>
      </c>
      <c r="D3" s="1" t="s">
        <v>308</v>
      </c>
      <c r="E3" s="1" t="s">
        <v>306</v>
      </c>
      <c r="F3" s="1" t="s">
        <v>305</v>
      </c>
      <c r="G3" s="1" t="s">
        <v>156</v>
      </c>
      <c r="H3" s="1" t="s">
        <v>341</v>
      </c>
      <c r="I3" s="1" t="s">
        <v>313</v>
      </c>
      <c r="J3" s="1" t="s">
        <v>310</v>
      </c>
    </row>
    <row r="4" spans="1:12" ht="70.8" customHeight="1" x14ac:dyDescent="0.3">
      <c r="A4" s="3" t="s">
        <v>21</v>
      </c>
      <c r="B4" s="3" t="s">
        <v>342</v>
      </c>
      <c r="C4" s="1">
        <v>2019</v>
      </c>
      <c r="D4" s="1" t="s">
        <v>311</v>
      </c>
      <c r="E4" s="1" t="s">
        <v>314</v>
      </c>
      <c r="F4" s="1" t="s">
        <v>305</v>
      </c>
      <c r="G4" s="1" t="s">
        <v>156</v>
      </c>
      <c r="H4" s="1" t="s">
        <v>341</v>
      </c>
      <c r="I4" s="1" t="s">
        <v>312</v>
      </c>
      <c r="J4" s="1" t="s">
        <v>310</v>
      </c>
      <c r="K4" t="s">
        <v>340</v>
      </c>
    </row>
    <row r="5" spans="1:12" ht="70.8" customHeight="1" x14ac:dyDescent="0.3">
      <c r="A5" s="2" t="s">
        <v>7</v>
      </c>
      <c r="B5" s="2" t="s">
        <v>302</v>
      </c>
      <c r="C5" s="1">
        <v>2017</v>
      </c>
      <c r="D5" s="1" t="s">
        <v>302</v>
      </c>
      <c r="E5" s="21" t="s">
        <v>343</v>
      </c>
      <c r="F5" s="1" t="s">
        <v>317</v>
      </c>
      <c r="G5" s="1" t="s">
        <v>156</v>
      </c>
      <c r="H5" s="1" t="s">
        <v>344</v>
      </c>
      <c r="I5" s="1" t="s">
        <v>315</v>
      </c>
      <c r="J5" s="1" t="s">
        <v>302</v>
      </c>
      <c r="K5" s="1" t="s">
        <v>345</v>
      </c>
    </row>
    <row r="6" spans="1:12" ht="70.8" customHeight="1" x14ac:dyDescent="0.3">
      <c r="A6" t="s">
        <v>293</v>
      </c>
      <c r="B6" s="1" t="s">
        <v>302</v>
      </c>
      <c r="C6" s="1">
        <v>2015</v>
      </c>
      <c r="D6" s="1" t="s">
        <v>297</v>
      </c>
      <c r="E6" s="1" t="s">
        <v>316</v>
      </c>
      <c r="F6" s="1" t="s">
        <v>318</v>
      </c>
      <c r="H6" s="1" t="s">
        <v>319</v>
      </c>
      <c r="I6" s="1" t="s">
        <v>321</v>
      </c>
      <c r="J6" s="1" t="s">
        <v>302</v>
      </c>
      <c r="K6" t="s">
        <v>346</v>
      </c>
    </row>
    <row r="7" spans="1:12" ht="70.8" customHeight="1" x14ac:dyDescent="0.3">
      <c r="A7" s="2" t="s">
        <v>9</v>
      </c>
      <c r="B7" s="2" t="s">
        <v>324</v>
      </c>
      <c r="C7" s="1">
        <v>2007</v>
      </c>
      <c r="D7" s="1" t="s">
        <v>296</v>
      </c>
      <c r="E7" t="s">
        <v>323</v>
      </c>
      <c r="F7" s="1" t="s">
        <v>322</v>
      </c>
      <c r="H7" s="1" t="s">
        <v>334</v>
      </c>
      <c r="J7" s="1" t="s">
        <v>310</v>
      </c>
      <c r="K7" t="s">
        <v>347</v>
      </c>
    </row>
    <row r="8" spans="1:12" ht="70.8" customHeight="1" x14ac:dyDescent="0.3">
      <c r="A8" s="3" t="s">
        <v>19</v>
      </c>
      <c r="B8" s="3"/>
      <c r="C8" s="1">
        <v>2018</v>
      </c>
      <c r="D8" s="1" t="s">
        <v>325</v>
      </c>
      <c r="E8" s="1" t="s">
        <v>326</v>
      </c>
      <c r="F8" s="1" t="s">
        <v>302</v>
      </c>
      <c r="G8" s="1" t="s">
        <v>156</v>
      </c>
      <c r="H8" s="1" t="s">
        <v>348</v>
      </c>
      <c r="I8" s="1" t="s">
        <v>328</v>
      </c>
      <c r="J8" s="1" t="s">
        <v>327</v>
      </c>
      <c r="K8" t="s">
        <v>349</v>
      </c>
    </row>
    <row r="9" spans="1:12" s="40" customFormat="1" ht="70.8" customHeight="1" x14ac:dyDescent="0.3">
      <c r="A9" s="40" t="s">
        <v>350</v>
      </c>
    </row>
    <row r="10" spans="1:12" ht="70.8" customHeight="1" x14ac:dyDescent="0.3">
      <c r="A10" t="s">
        <v>271</v>
      </c>
      <c r="B10" s="1"/>
      <c r="C10" s="1">
        <v>2021</v>
      </c>
      <c r="D10" s="1" t="s">
        <v>329</v>
      </c>
      <c r="E10" s="1" t="s">
        <v>331</v>
      </c>
      <c r="F10" s="1" t="s">
        <v>330</v>
      </c>
      <c r="G10" s="1" t="s">
        <v>333</v>
      </c>
      <c r="H10" s="1" t="s">
        <v>351</v>
      </c>
      <c r="I10" s="1" t="s">
        <v>332</v>
      </c>
      <c r="J10" s="1" t="s">
        <v>301</v>
      </c>
      <c r="K10" s="1" t="s">
        <v>352</v>
      </c>
    </row>
    <row r="11" spans="1:12" ht="70.8" customHeight="1" x14ac:dyDescent="0.3">
      <c r="A11" t="s">
        <v>461</v>
      </c>
      <c r="B11" s="1"/>
      <c r="C11" s="1">
        <v>2018</v>
      </c>
      <c r="D11" s="1" t="s">
        <v>329</v>
      </c>
      <c r="E11" s="21" t="s">
        <v>353</v>
      </c>
      <c r="F11" s="1" t="s">
        <v>354</v>
      </c>
      <c r="G11" t="s">
        <v>156</v>
      </c>
      <c r="H11" s="1" t="s">
        <v>351</v>
      </c>
      <c r="I11" s="1" t="s">
        <v>335</v>
      </c>
      <c r="J11" s="1" t="s">
        <v>302</v>
      </c>
      <c r="K11" t="s">
        <v>355</v>
      </c>
    </row>
    <row r="12" spans="1:12" s="39" customFormat="1" ht="70.8" customHeight="1" x14ac:dyDescent="0.3">
      <c r="A12" s="39" t="s">
        <v>356</v>
      </c>
    </row>
    <row r="13" spans="1:12" ht="28.8" x14ac:dyDescent="0.3">
      <c r="A13" t="s">
        <v>340</v>
      </c>
      <c r="C13" s="1">
        <v>2023</v>
      </c>
      <c r="D13" s="1" t="s">
        <v>302</v>
      </c>
      <c r="E13" t="s">
        <v>357</v>
      </c>
      <c r="F13" s="1" t="s">
        <v>305</v>
      </c>
      <c r="H13" s="1" t="s">
        <v>302</v>
      </c>
      <c r="J13" s="1" t="s">
        <v>302</v>
      </c>
    </row>
    <row r="14" spans="1:12" x14ac:dyDescent="0.3">
      <c r="A14" t="s">
        <v>358</v>
      </c>
      <c r="C14" s="1">
        <v>2016</v>
      </c>
      <c r="D14" t="s">
        <v>302</v>
      </c>
      <c r="E14" t="s">
        <v>359</v>
      </c>
      <c r="F14" t="s">
        <v>360</v>
      </c>
      <c r="G14" t="s">
        <v>156</v>
      </c>
      <c r="H14" s="1" t="s">
        <v>319</v>
      </c>
      <c r="J14" t="s">
        <v>361</v>
      </c>
    </row>
    <row r="15" spans="1:12" ht="86.4" x14ac:dyDescent="0.3">
      <c r="A15" s="1" t="s">
        <v>362</v>
      </c>
      <c r="B15" s="1" t="s">
        <v>363</v>
      </c>
      <c r="C15" s="1">
        <v>2022</v>
      </c>
      <c r="D15" s="22" t="s">
        <v>364</v>
      </c>
      <c r="E15" s="1" t="s">
        <v>365</v>
      </c>
      <c r="F15" s="1" t="s">
        <v>366</v>
      </c>
      <c r="G15" s="1" t="s">
        <v>156</v>
      </c>
      <c r="H15" s="1" t="s">
        <v>319</v>
      </c>
      <c r="I15" s="1"/>
      <c r="J15" s="1" t="s">
        <v>361</v>
      </c>
      <c r="K15" s="1" t="s">
        <v>367</v>
      </c>
    </row>
    <row r="16" spans="1:12" ht="53.4" x14ac:dyDescent="0.3">
      <c r="A16" s="1" t="s">
        <v>368</v>
      </c>
      <c r="B16" s="23" t="s">
        <v>369</v>
      </c>
      <c r="C16" s="1">
        <v>2024</v>
      </c>
      <c r="D16" s="22" t="s">
        <v>302</v>
      </c>
      <c r="E16" s="1" t="s">
        <v>370</v>
      </c>
      <c r="F16" s="1" t="s">
        <v>371</v>
      </c>
      <c r="G16" s="1" t="s">
        <v>156</v>
      </c>
      <c r="H16" s="1" t="s">
        <v>372</v>
      </c>
      <c r="I16" s="1"/>
      <c r="J16" s="1" t="s">
        <v>361</v>
      </c>
      <c r="K16" s="1"/>
      <c r="L16" s="1"/>
    </row>
    <row r="17" spans="1:12" ht="43.2" x14ac:dyDescent="0.3">
      <c r="A17" s="1" t="s">
        <v>347</v>
      </c>
      <c r="B17" s="23"/>
      <c r="C17" s="1">
        <v>2018</v>
      </c>
      <c r="D17" s="1" t="s">
        <v>302</v>
      </c>
      <c r="E17" t="s">
        <v>373</v>
      </c>
      <c r="F17" s="1" t="s">
        <v>374</v>
      </c>
      <c r="G17" s="1" t="s">
        <v>156</v>
      </c>
      <c r="H17" s="1" t="s">
        <v>375</v>
      </c>
      <c r="I17" s="1"/>
      <c r="J17" s="1" t="s">
        <v>310</v>
      </c>
      <c r="K17" s="1"/>
      <c r="L17" s="1"/>
    </row>
    <row r="18" spans="1:12" ht="158.4" x14ac:dyDescent="0.3">
      <c r="A18" s="1" t="s">
        <v>376</v>
      </c>
      <c r="B18" s="1" t="s">
        <v>377</v>
      </c>
      <c r="C18" s="1">
        <v>2024</v>
      </c>
      <c r="D18" s="1" t="s">
        <v>302</v>
      </c>
      <c r="E18" t="s">
        <v>378</v>
      </c>
      <c r="F18" s="1" t="s">
        <v>379</v>
      </c>
      <c r="G18" s="1" t="s">
        <v>156</v>
      </c>
      <c r="H18" s="1" t="s">
        <v>380</v>
      </c>
      <c r="I18" s="1" t="s">
        <v>381</v>
      </c>
      <c r="J18" s="1" t="s">
        <v>310</v>
      </c>
      <c r="K18" s="1"/>
      <c r="L18" s="1"/>
    </row>
    <row r="19" spans="1:12" ht="28.8" x14ac:dyDescent="0.3">
      <c r="A19" s="1" t="s">
        <v>382</v>
      </c>
      <c r="C19" s="1">
        <v>2017</v>
      </c>
      <c r="D19" s="1" t="s">
        <v>383</v>
      </c>
      <c r="E19" s="1" t="s">
        <v>384</v>
      </c>
      <c r="F19" s="1" t="s">
        <v>385</v>
      </c>
      <c r="G19" s="1" t="s">
        <v>156</v>
      </c>
      <c r="H19" s="1"/>
      <c r="I19" s="1"/>
      <c r="J19" s="1" t="s">
        <v>361</v>
      </c>
      <c r="K19" s="1"/>
      <c r="L19" s="1"/>
    </row>
    <row r="20" spans="1:12" ht="100.8" x14ac:dyDescent="0.3">
      <c r="A20" s="1" t="s">
        <v>386</v>
      </c>
      <c r="C20" s="1">
        <v>2024</v>
      </c>
      <c r="D20" s="1" t="s">
        <v>302</v>
      </c>
      <c r="E20" s="1" t="s">
        <v>387</v>
      </c>
      <c r="F20" s="1" t="s">
        <v>388</v>
      </c>
      <c r="G20" s="1" t="s">
        <v>156</v>
      </c>
      <c r="H20" s="1" t="s">
        <v>351</v>
      </c>
      <c r="I20" s="1" t="s">
        <v>389</v>
      </c>
      <c r="J20" s="1" t="s">
        <v>390</v>
      </c>
    </row>
  </sheetData>
  <mergeCells count="2">
    <mergeCell ref="A9:XFD9"/>
    <mergeCell ref="A12:XFD12"/>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2026-08-26T10:05:35Z</dcterms:modified>
</cp:coreProperties>
</file>